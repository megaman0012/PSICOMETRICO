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quezada\Desktop\TEST PARA GUARDIAS\"/>
    </mc:Choice>
  </mc:AlternateContent>
  <xr:revisionPtr revIDLastSave="0" documentId="13_ncr:1_{90FB4A53-B268-4ECF-AF96-155571B777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rtilla Preguntas" sheetId="3" r:id="rId1"/>
    <sheet name="Evaluacion Test Big Five" sheetId="1" r:id="rId2"/>
    <sheet name="INFORME" sheetId="2" r:id="rId3"/>
  </sheets>
  <calcPr calcId="191029"/>
</workbook>
</file>

<file path=xl/calcChain.xml><?xml version="1.0" encoding="utf-8"?>
<calcChain xmlns="http://schemas.openxmlformats.org/spreadsheetml/2006/main">
  <c r="F26" i="1" l="1"/>
  <c r="B7" i="2" s="1"/>
  <c r="F27" i="1"/>
  <c r="B8" i="2" s="1"/>
  <c r="F30" i="1"/>
  <c r="B11" i="2" s="1"/>
  <c r="F29" i="1"/>
  <c r="B10" i="2" s="1"/>
  <c r="F28" i="1"/>
  <c r="B9" i="2" s="1"/>
  <c r="B34" i="1" l="1"/>
  <c r="C7" i="2" s="1"/>
  <c r="B36" i="1"/>
  <c r="C8" i="2" s="1"/>
  <c r="B38" i="1"/>
  <c r="C9" i="2" s="1"/>
  <c r="B40" i="1"/>
  <c r="C10" i="2" s="1"/>
  <c r="B42" i="1"/>
  <c r="C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Rubi Quezada</author>
  </authors>
  <commentList>
    <comment ref="A26" authorId="0" shapeId="0" xr:uid="{D02517B7-F9A3-47D1-AE0D-F09C98D02342}">
      <text>
        <r>
          <rPr>
            <b/>
            <sz val="9"/>
            <color indexed="81"/>
            <rFont val="Tahoma"/>
            <family val="2"/>
          </rPr>
          <t>Rubi Quezada:</t>
        </r>
        <r>
          <rPr>
            <sz val="9"/>
            <color indexed="81"/>
            <rFont val="Tahoma"/>
            <family val="2"/>
          </rPr>
          <t xml:space="preserve">
Evalúa el grado en que una persona es:
Organizada
Responsable
Disciplinada
Orientada a metas
Confiable en el cumplimiento de normas y deberes</t>
        </r>
      </text>
    </comment>
    <comment ref="A27" authorId="0" shapeId="0" xr:uid="{CA25F3B0-3925-4862-B5B2-DB171B3D6DE5}">
      <text>
        <r>
          <rPr>
            <b/>
            <sz val="9"/>
            <color indexed="81"/>
            <rFont val="Tahoma"/>
            <family val="2"/>
          </rPr>
          <t>Rubi Quezada:</t>
        </r>
        <r>
          <rPr>
            <sz val="9"/>
            <color indexed="81"/>
            <rFont val="Tahoma"/>
            <family val="2"/>
          </rPr>
          <t xml:space="preserve">
El Neuroticismo refleja el grado de estabilidad emocional de una persona y cómo maneja el estrés, la presión y las emociones negativas.
Incluye aspectos como:
Ansiedad
Inseguridad
Vulnerabilidad al estrés
Cambios de humor
Control emocional</t>
        </r>
      </text>
    </comment>
    <comment ref="A28" authorId="0" shapeId="0" xr:uid="{E3BAC650-B338-4409-A828-0E454DA9227D}">
      <text>
        <r>
          <rPr>
            <b/>
            <sz val="9"/>
            <color indexed="81"/>
            <rFont val="Tahoma"/>
            <family val="2"/>
          </rPr>
          <t>Rubi Quezada:</t>
        </r>
        <r>
          <rPr>
            <sz val="9"/>
            <color indexed="81"/>
            <rFont val="Tahoma"/>
            <family val="2"/>
          </rPr>
          <t xml:space="preserve">
La Amabilidad refleja el grado en que una persona es:
Cooperativa y respetuosa.
Empática y solidaria.
Paciente y tolerante.
Orientada al trato cordial con los demás.</t>
        </r>
      </text>
    </comment>
    <comment ref="A29" authorId="0" shapeId="0" xr:uid="{308BCA22-55AA-4C24-868F-3E804B8D9D6C}">
      <text>
        <r>
          <rPr>
            <b/>
            <sz val="9"/>
            <color indexed="81"/>
            <rFont val="Tahoma"/>
            <family val="2"/>
          </rPr>
          <t>Rubi Quezada:</t>
        </r>
        <r>
          <rPr>
            <sz val="9"/>
            <color indexed="81"/>
            <rFont val="Tahoma"/>
            <family val="2"/>
          </rPr>
          <t xml:space="preserve">
Evalúa el nivel de energía social y la tendencia a buscar e interactuar con otras personas.
Incluye rasgos como:
Sociabilidad
Expresividad
Comunicación
Liderazgo e iniciativa social
Energía en contextos grupales</t>
        </r>
      </text>
    </comment>
    <comment ref="A30" authorId="0" shapeId="0" xr:uid="{9EFDE577-0607-48DA-95BD-7F91ED1F55BE}">
      <text>
        <r>
          <rPr>
            <b/>
            <sz val="9"/>
            <color indexed="81"/>
            <rFont val="Tahoma"/>
            <family val="2"/>
          </rPr>
          <t>Rubi Quezada:</t>
        </r>
        <r>
          <rPr>
            <sz val="9"/>
            <color indexed="81"/>
            <rFont val="Tahoma"/>
            <family val="2"/>
          </rPr>
          <t xml:space="preserve">
La Apertura refleja el nivel de flexibilidad, curiosidad y disposición al aprendizaje de una persona.
Incluye aspectos como:
Creatividad
Curiosidad intelectual
Adaptabilidad a nuevas situaciones
Interés por aprender cosas nuevas
Capacidad de resolución innovadora de problemas</t>
        </r>
      </text>
    </comment>
  </commentList>
</comments>
</file>

<file path=xl/sharedStrings.xml><?xml version="1.0" encoding="utf-8"?>
<sst xmlns="http://schemas.openxmlformats.org/spreadsheetml/2006/main" count="114" uniqueCount="70">
  <si>
    <t>Escala de respuesta: 1 = Muy en desacuerdo | 2 = En desacuerdo | 3 = Neutral | 4 = De acuerdo | 5 = Muy de acuerdo</t>
  </si>
  <si>
    <t>#</t>
  </si>
  <si>
    <t>Pregunta</t>
  </si>
  <si>
    <t>Respuesta (1-5)</t>
  </si>
  <si>
    <t>Factor</t>
  </si>
  <si>
    <t>Puntaje Promedio</t>
  </si>
  <si>
    <t>Cumplo siempre con las normas y procedimientos establecidos.</t>
  </si>
  <si>
    <t>C</t>
  </si>
  <si>
    <t>Soy una persona puntual y ordenada en mis tareas.</t>
  </si>
  <si>
    <t>Puedo mantener la concentración incluso en turnos largos o monótonos.</t>
  </si>
  <si>
    <t>Si me dan una instrucción, la sigo con precisión.</t>
  </si>
  <si>
    <t>Mantengo la calma en situaciones de emergencia.</t>
  </si>
  <si>
    <t>N</t>
  </si>
  <si>
    <t>No me dejo llevar fácilmente por el miedo o la ansiedad.</t>
  </si>
  <si>
    <t>Cuando ocurre algo inesperado, mantengo el control emocional.</t>
  </si>
  <si>
    <t>Enfrento el estrés de forma adecuada.</t>
  </si>
  <si>
    <t>Trato a todas las personas con respeto, incluso en situaciones difíciles.</t>
  </si>
  <si>
    <t>A</t>
  </si>
  <si>
    <t>Escucho a los demás antes de tomar decisiones.</t>
  </si>
  <si>
    <t>Evito discusiones innecesarias y busco resolver conflictos pacíficamente.</t>
  </si>
  <si>
    <t>Soy empático y entiendo las necesidades de otras personas.</t>
  </si>
  <si>
    <t>Me resulta fácil comunicarme con desconocidos.</t>
  </si>
  <si>
    <t>E</t>
  </si>
  <si>
    <t>Puedo dar instrucciones claras a otras personas en momentos de tensión.</t>
  </si>
  <si>
    <t>Disfruto trabajar en equipo con mis compañeros.</t>
  </si>
  <si>
    <t>Me adapto bien a interactuar con distintos tipos de personas.</t>
  </si>
  <si>
    <t>Aprendo rápidamente nuevos procedimientos de seguridad.</t>
  </si>
  <si>
    <t>O</t>
  </si>
  <si>
    <t>Me adapto con facilidad a cambios en los planes o situaciones inesperadas.</t>
  </si>
  <si>
    <t>Estoy abierto a recibir capacitación y mejorar constantemente.</t>
  </si>
  <si>
    <t>Puedo encontrar soluciones creativas en situaciones problemáticas.</t>
  </si>
  <si>
    <t>Responsabilidad</t>
  </si>
  <si>
    <t>Neuroticismo</t>
  </si>
  <si>
    <t>Amabilidad</t>
  </si>
  <si>
    <t>Extraversión</t>
  </si>
  <si>
    <t>Apertura</t>
  </si>
  <si>
    <t>Reporte de Personalidad - Guardia de Seguridad</t>
  </si>
  <si>
    <t>Nombre del Candidato:</t>
  </si>
  <si>
    <t>Fecha de Evaluación:</t>
  </si>
  <si>
    <t>Dimensión</t>
  </si>
  <si>
    <t>Interpretación</t>
  </si>
  <si>
    <t>Conclusión General:</t>
  </si>
  <si>
    <t>Este reporte refleja el perfil de personalidad del candidato en base al modelo Big Five.</t>
  </si>
  <si>
    <t>Observaciones del Evaluador:</t>
  </si>
  <si>
    <t>Recomendación Final:</t>
  </si>
  <si>
    <t xml:space="preserve">RESULTADOS </t>
  </si>
  <si>
    <t xml:space="preserve">EVALUADO POR </t>
  </si>
  <si>
    <t>PS. ADRIANA MORENO</t>
  </si>
  <si>
    <t>JUAN CONFORME</t>
  </si>
  <si>
    <t>Escala de respuesta:</t>
  </si>
  <si>
    <t>2 = En desacuerdo</t>
  </si>
  <si>
    <t xml:space="preserve">1 = Muy en desacuerdo </t>
  </si>
  <si>
    <t xml:space="preserve">3 = Neutral </t>
  </si>
  <si>
    <t xml:space="preserve"> 5 = Muy de acuerdo</t>
  </si>
  <si>
    <t xml:space="preserve">4 = De acuerdo </t>
  </si>
  <si>
    <t xml:space="preserve">NOMBRE </t>
  </si>
  <si>
    <t>EDAD</t>
  </si>
  <si>
    <t>FECHA</t>
  </si>
  <si>
    <t>Instrucciones para el Test de Personalidad Big Five</t>
  </si>
  <si>
    <t>Este test tiene como objetivo conocer mejor su estilo de personalidad y comportamiento en el trabajo. No existen respuestas buenas o malas, y los resultados se utilizarán únicamente para fines de selección y desarrollo laboral en el puesto de personal de seguridad.</t>
  </si>
  <si>
    <t>Como responder : Lea cada afirmación con atención y marque un número del 1 al 5 según qué tanto se identifica con la frase</t>
  </si>
  <si>
    <t>Conteste de manera honesta y espontánea. No deje ninguna pregunta sin responder.</t>
  </si>
  <si>
    <t>El test tarda entre 10 y 15 minutos en completarse.</t>
  </si>
  <si>
    <t>Sus respuestas son confidenciales y serán utilizadas únicamente para fines de evaluación laboral interna.</t>
  </si>
  <si>
    <t xml:space="preserve">Test de Personalidad Big Five </t>
  </si>
  <si>
    <t>FACTOR C  Responsabilidad</t>
  </si>
  <si>
    <t>FACTOR N Neuroticismo</t>
  </si>
  <si>
    <t>FACTOR A Amabilidad</t>
  </si>
  <si>
    <t>FACTOR E Extraversión</t>
  </si>
  <si>
    <t>FACTOR O Inf. Interp. Automático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</si>
</sst>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3" tint="0.3999755851924192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3" tint="0.3999755851924192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2" borderId="0" xfId="0" applyFont="1" applyFill="1"/>
    <xf numFmtId="0" fontId="0" fillId="7" borderId="0" xfId="0" applyFill="1"/>
    <xf numFmtId="0" fontId="3" fillId="0" borderId="0" xfId="0" applyFont="1"/>
    <xf numFmtId="0" fontId="0" fillId="0" borderId="3" xfId="0" applyBorder="1"/>
    <xf numFmtId="0" fontId="3" fillId="8" borderId="3" xfId="0" applyFont="1" applyFill="1" applyBorder="1"/>
    <xf numFmtId="0" fontId="7" fillId="0" borderId="0" xfId="0" applyFont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9" borderId="6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11" fillId="0" borderId="0" xfId="0" applyFont="1"/>
    <xf numFmtId="164" fontId="0" fillId="0" borderId="2" xfId="0" applyNumberFormat="1" applyBorder="1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7" fillId="0" borderId="0" xfId="0" applyFont="1"/>
    <xf numFmtId="0" fontId="0" fillId="0" borderId="1" xfId="0" applyBorder="1"/>
    <xf numFmtId="0" fontId="8" fillId="0" borderId="0" xfId="0" applyFont="1"/>
    <xf numFmtId="0" fontId="15" fillId="6" borderId="0" xfId="0" applyFont="1" applyFill="1"/>
    <xf numFmtId="0" fontId="8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 wrapText="1"/>
    </xf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/>
    </xf>
    <xf numFmtId="0" fontId="10" fillId="0" borderId="0" xfId="0" applyFont="1" applyAlignment="1">
      <alignment horizontal="left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Perfil Big Five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27E6-4BDB-908E-24C5B608FE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7E6-4BDB-908E-24C5B608FE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27E6-4BDB-908E-24C5B608FED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7E6-4BDB-908E-24C5B608FE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'Evaluacion Test Big Five'!$A$26:$A$30</c:f>
              <c:strCache>
                <c:ptCount val="5"/>
                <c:pt idx="0">
                  <c:v>FACTOR C  Responsabilidad</c:v>
                </c:pt>
                <c:pt idx="1">
                  <c:v>FACTOR N Neuroticismo</c:v>
                </c:pt>
                <c:pt idx="2">
                  <c:v>FACTOR A Amabilidad</c:v>
                </c:pt>
                <c:pt idx="3">
                  <c:v>FACTOR E Extraversión</c:v>
                </c:pt>
                <c:pt idx="4">
                  <c:v>FACTOR O Inf. Interp. Automático</c:v>
                </c:pt>
              </c:strCache>
            </c:strRef>
          </c:cat>
          <c:val>
            <c:numRef>
              <c:f>'Evaluacion Test Big Five'!$F$26:$F$30</c:f>
              <c:numCache>
                <c:formatCode>General</c:formatCode>
                <c:ptCount val="5"/>
                <c:pt idx="0">
                  <c:v>4.5</c:v>
                </c:pt>
                <c:pt idx="1">
                  <c:v>3.25</c:v>
                </c:pt>
                <c:pt idx="2">
                  <c:v>2.5</c:v>
                </c:pt>
                <c:pt idx="3">
                  <c:v>4.25</c:v>
                </c:pt>
                <c:pt idx="4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6-4BDB-908E-24C5B608F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Dimensión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Puntaje 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Perfil Big Five (Radar)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none"/>
          </c:marker>
          <c:cat>
            <c:strRef>
              <c:f>'Evaluacion Test Big Five'!$A$26:$A$30</c:f>
              <c:strCache>
                <c:ptCount val="5"/>
                <c:pt idx="0">
                  <c:v>FACTOR C  Responsabilidad</c:v>
                </c:pt>
                <c:pt idx="1">
                  <c:v>FACTOR N Neuroticismo</c:v>
                </c:pt>
                <c:pt idx="2">
                  <c:v>FACTOR A Amabilidad</c:v>
                </c:pt>
                <c:pt idx="3">
                  <c:v>FACTOR E Extraversión</c:v>
                </c:pt>
                <c:pt idx="4">
                  <c:v>FACTOR O Inf. Interp. Automático</c:v>
                </c:pt>
              </c:strCache>
            </c:strRef>
          </c:cat>
          <c:val>
            <c:numRef>
              <c:f>'Evaluacion Test Big Five'!$F$26:$F$30</c:f>
              <c:numCache>
                <c:formatCode>General</c:formatCode>
                <c:ptCount val="5"/>
                <c:pt idx="0">
                  <c:v>4.5</c:v>
                </c:pt>
                <c:pt idx="1">
                  <c:v>3.25</c:v>
                </c:pt>
                <c:pt idx="2">
                  <c:v>2.5</c:v>
                </c:pt>
                <c:pt idx="3">
                  <c:v>4.25</c:v>
                </c:pt>
                <c:pt idx="4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A-4711-94BA-D86A46A2F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>
                <a:solidFill>
                  <a:sysClr val="windowText" lastClr="000000"/>
                </a:solidFill>
              </a:rPr>
              <a:t>Perfil Big Five - Candidato</a:t>
            </a:r>
          </a:p>
        </c:rich>
      </c:tx>
      <c:layout>
        <c:manualLayout>
          <c:xMode val="edge"/>
          <c:yMode val="edge"/>
          <c:x val="0.25655125884834917"/>
          <c:y val="2.185792349726776E-2"/>
        </c:manualLayout>
      </c:layout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'Evaluacion Test Big Five'!$A$26:$A$30</c:f>
              <c:strCache>
                <c:ptCount val="5"/>
                <c:pt idx="0">
                  <c:v>FACTOR C  Responsabilidad</c:v>
                </c:pt>
                <c:pt idx="1">
                  <c:v>FACTOR N Neuroticismo</c:v>
                </c:pt>
                <c:pt idx="2">
                  <c:v>FACTOR A Amabilidad</c:v>
                </c:pt>
                <c:pt idx="3">
                  <c:v>FACTOR E Extraversión</c:v>
                </c:pt>
                <c:pt idx="4">
                  <c:v>FACTOR O Inf. Interp. Automático</c:v>
                </c:pt>
              </c:strCache>
            </c:strRef>
          </c:cat>
          <c:val>
            <c:numRef>
              <c:f>'Evaluacion Test Big Five'!$F$26:$F$30</c:f>
              <c:numCache>
                <c:formatCode>General</c:formatCode>
                <c:ptCount val="5"/>
                <c:pt idx="0">
                  <c:v>4.5</c:v>
                </c:pt>
                <c:pt idx="1">
                  <c:v>3.25</c:v>
                </c:pt>
                <c:pt idx="2">
                  <c:v>2.5</c:v>
                </c:pt>
                <c:pt idx="3">
                  <c:v>4.25</c:v>
                </c:pt>
                <c:pt idx="4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2-4822-900A-5D7108CB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41275">
              <a:solidFill>
                <a:schemeClr val="bg1">
                  <a:lumMod val="7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3514725</xdr:colOff>
      <xdr:row>0</xdr:row>
      <xdr:rowOff>66675</xdr:rowOff>
    </xdr:from>
    <xdr:to>
      <xdr:col>2</xdr:col>
      <xdr:colOff>638175</xdr:colOff>
      <xdr:row>0</xdr:row>
      <xdr:rowOff>469583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C4ABE13-0EBA-4529-9496-5A34C690C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66675"/>
          <a:ext cx="1457325" cy="40290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0</xdr:row>
      <xdr:rowOff>0</xdr:rowOff>
    </xdr:from>
    <xdr:to>
      <xdr:col>1</xdr:col>
      <xdr:colOff>457200</xdr:colOff>
      <xdr:row>1</xdr:row>
      <xdr:rowOff>14288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CD63C98-99A8-4CF2-AE8F-49A1FCFDC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0"/>
          <a:ext cx="1076325" cy="5381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228599</xdr:rowOff>
    </xdr:from>
    <xdr:ext cx="5400000" cy="3019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1</xdr:col>
      <xdr:colOff>1095375</xdr:colOff>
      <xdr:row>29</xdr:row>
      <xdr:rowOff>123825</xdr:rowOff>
    </xdr:from>
    <xdr:to>
      <xdr:col>1</xdr:col>
      <xdr:colOff>3405959</xdr:colOff>
      <xdr:row>31</xdr:row>
      <xdr:rowOff>133003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F9EFF27-BDB7-A093-618E-64F76F42F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86075" y="5886450"/>
          <a:ext cx="2310584" cy="390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1323975</xdr:colOff>
      <xdr:row>1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03B704A-2DAC-12EB-C08A-02C1F844A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0"/>
          <a:ext cx="1238250" cy="619125"/>
        </a:xfrm>
        <a:prstGeom prst="rect">
          <a:avLst/>
        </a:prstGeom>
      </xdr:spPr>
    </xdr:pic>
    <xdr:clientData/>
  </xdr:twoCellAnchor>
  <xdr:oneCellAnchor>
    <xdr:from>
      <xdr:col>0</xdr:col>
      <xdr:colOff>66676</xdr:colOff>
      <xdr:row>11</xdr:row>
      <xdr:rowOff>180975</xdr:rowOff>
    </xdr:from>
    <xdr:ext cx="5229224" cy="17430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2</xdr:col>
      <xdr:colOff>1543050</xdr:colOff>
      <xdr:row>0</xdr:row>
      <xdr:rowOff>104776</xdr:rowOff>
    </xdr:from>
    <xdr:to>
      <xdr:col>2</xdr:col>
      <xdr:colOff>3000375</xdr:colOff>
      <xdr:row>0</xdr:row>
      <xdr:rowOff>507684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6A624B-24C3-D9AF-D9DF-01FD1BD88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52875" y="104776"/>
          <a:ext cx="1457325" cy="40290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533400</xdr:colOff>
          <xdr:row>27</xdr:row>
          <xdr:rowOff>190500</xdr:rowOff>
        </xdr:from>
        <xdr:to>
          <xdr:col>0</xdr:col>
          <xdr:colOff>1247775</xdr:colOff>
          <xdr:row>30</xdr:row>
          <xdr:rowOff>85725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219075</xdr:colOff>
          <xdr:row>27</xdr:row>
          <xdr:rowOff>190500</xdr:rowOff>
        </xdr:from>
        <xdr:to>
          <xdr:col>2</xdr:col>
          <xdr:colOff>76200</xdr:colOff>
          <xdr:row>30</xdr:row>
          <xdr:rowOff>85725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 APTO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28AA-E8B0-4B10-BA02-3EB93F4F6C58}">
  <dimension ref="A1:C41"/>
  <sheetViews>
    <sheetView showGridLines="0" tabSelected="1" topLeftCell="A20" workbookViewId="0">
      <selection activeCell="C20" sqref="C20:C39"/>
    </sheetView>
  </sheetViews>
  <sheetFormatPr baseColWidth="10" defaultRowHeight="15" x14ac:dyDescent="0.25"/>
  <cols>
    <col min="1" max="1" width="9.5703125" customWidth="1"/>
    <col min="2" max="2" width="65" customWidth="1"/>
    <col min="3" max="3" width="10" customWidth="1"/>
  </cols>
  <sheetData>
    <row r="1" spans="1:3" ht="41.25" customHeight="1" x14ac:dyDescent="0.25"/>
    <row r="2" spans="1:3" ht="26.25" customHeight="1" x14ac:dyDescent="0.25">
      <c r="A2" s="11" t="s">
        <v>55</v>
      </c>
      <c r="B2" s="18"/>
    </row>
    <row r="3" spans="1:3" x14ac:dyDescent="0.25">
      <c r="A3" s="11" t="s">
        <v>56</v>
      </c>
      <c r="B3" s="19"/>
    </row>
    <row r="4" spans="1:3" x14ac:dyDescent="0.25">
      <c r="A4" s="11" t="s">
        <v>57</v>
      </c>
      <c r="B4" s="20"/>
    </row>
    <row r="5" spans="1:3" x14ac:dyDescent="0.25">
      <c r="A5" s="11"/>
    </row>
    <row r="6" spans="1:3" ht="21" x14ac:dyDescent="0.35">
      <c r="A6" s="35" t="s">
        <v>58</v>
      </c>
      <c r="B6" s="35"/>
      <c r="C6" s="35"/>
    </row>
    <row r="7" spans="1:3" ht="51" customHeight="1" x14ac:dyDescent="0.25">
      <c r="A7" s="34" t="s">
        <v>59</v>
      </c>
      <c r="B7" s="34"/>
      <c r="C7" s="34"/>
    </row>
    <row r="8" spans="1:3" ht="39" customHeight="1" x14ac:dyDescent="0.25">
      <c r="A8" s="36" t="s">
        <v>60</v>
      </c>
      <c r="B8" s="36"/>
      <c r="C8" s="36"/>
    </row>
    <row r="9" spans="1:3" ht="21" x14ac:dyDescent="0.35">
      <c r="B9" s="14" t="s">
        <v>49</v>
      </c>
    </row>
    <row r="10" spans="1:3" x14ac:dyDescent="0.25">
      <c r="B10" s="13" t="s">
        <v>51</v>
      </c>
    </row>
    <row r="11" spans="1:3" x14ac:dyDescent="0.25">
      <c r="B11" s="13" t="s">
        <v>50</v>
      </c>
    </row>
    <row r="12" spans="1:3" x14ac:dyDescent="0.25">
      <c r="B12" s="13" t="s">
        <v>52</v>
      </c>
    </row>
    <row r="13" spans="1:3" x14ac:dyDescent="0.25">
      <c r="B13" s="13" t="s">
        <v>54</v>
      </c>
    </row>
    <row r="14" spans="1:3" x14ac:dyDescent="0.25">
      <c r="B14" s="13" t="s">
        <v>53</v>
      </c>
    </row>
    <row r="15" spans="1:3" x14ac:dyDescent="0.25">
      <c r="B15" s="11"/>
    </row>
    <row r="16" spans="1:3" x14ac:dyDescent="0.25">
      <c r="A16" s="33" t="s">
        <v>61</v>
      </c>
      <c r="B16" s="33"/>
      <c r="C16" s="33"/>
    </row>
    <row r="17" spans="1:3" ht="21" customHeight="1" x14ac:dyDescent="0.25">
      <c r="A17" s="33" t="s">
        <v>62</v>
      </c>
      <c r="B17" s="33"/>
      <c r="C17" s="33"/>
    </row>
    <row r="18" spans="1:3" ht="15.75" thickBot="1" x14ac:dyDescent="0.3"/>
    <row r="19" spans="1:3" ht="30" x14ac:dyDescent="0.25">
      <c r="A19" s="21" t="s">
        <v>1</v>
      </c>
      <c r="B19" s="15" t="s">
        <v>2</v>
      </c>
      <c r="C19" s="17" t="s">
        <v>3</v>
      </c>
    </row>
    <row r="20" spans="1:3" x14ac:dyDescent="0.25">
      <c r="A20" s="16">
        <v>1</v>
      </c>
      <c r="B20" s="12" t="s">
        <v>6</v>
      </c>
      <c r="C20" s="16">
        <v>5</v>
      </c>
    </row>
    <row r="21" spans="1:3" x14ac:dyDescent="0.25">
      <c r="A21" s="16">
        <v>2</v>
      </c>
      <c r="B21" s="12" t="s">
        <v>8</v>
      </c>
      <c r="C21" s="16">
        <v>4</v>
      </c>
    </row>
    <row r="22" spans="1:3" x14ac:dyDescent="0.25">
      <c r="A22" s="16">
        <v>3</v>
      </c>
      <c r="B22" s="12" t="s">
        <v>9</v>
      </c>
      <c r="C22" s="16">
        <v>5</v>
      </c>
    </row>
    <row r="23" spans="1:3" x14ac:dyDescent="0.25">
      <c r="A23" s="16">
        <v>4</v>
      </c>
      <c r="B23" s="12" t="s">
        <v>10</v>
      </c>
      <c r="C23" s="16">
        <v>4</v>
      </c>
    </row>
    <row r="24" spans="1:3" x14ac:dyDescent="0.25">
      <c r="A24" s="16">
        <v>5</v>
      </c>
      <c r="B24" s="12" t="s">
        <v>11</v>
      </c>
      <c r="C24" s="16">
        <v>4</v>
      </c>
    </row>
    <row r="25" spans="1:3" x14ac:dyDescent="0.25">
      <c r="A25" s="16">
        <v>6</v>
      </c>
      <c r="B25" s="12" t="s">
        <v>13</v>
      </c>
      <c r="C25" s="16">
        <v>3</v>
      </c>
    </row>
    <row r="26" spans="1:3" x14ac:dyDescent="0.25">
      <c r="A26" s="16">
        <v>7</v>
      </c>
      <c r="B26" s="12" t="s">
        <v>14</v>
      </c>
      <c r="C26" s="16">
        <v>3</v>
      </c>
    </row>
    <row r="27" spans="1:3" x14ac:dyDescent="0.25">
      <c r="A27" s="16">
        <v>8</v>
      </c>
      <c r="B27" s="12" t="s">
        <v>15</v>
      </c>
      <c r="C27" s="16">
        <v>3</v>
      </c>
    </row>
    <row r="28" spans="1:3" x14ac:dyDescent="0.25">
      <c r="A28" s="16">
        <v>9</v>
      </c>
      <c r="B28" s="12" t="s">
        <v>16</v>
      </c>
      <c r="C28" s="16">
        <v>3</v>
      </c>
    </row>
    <row r="29" spans="1:3" x14ac:dyDescent="0.25">
      <c r="A29" s="16">
        <v>10</v>
      </c>
      <c r="B29" s="12" t="s">
        <v>18</v>
      </c>
      <c r="C29" s="16">
        <v>2</v>
      </c>
    </row>
    <row r="30" spans="1:3" x14ac:dyDescent="0.25">
      <c r="A30" s="16">
        <v>11</v>
      </c>
      <c r="B30" s="12" t="s">
        <v>19</v>
      </c>
      <c r="C30" s="16">
        <v>2</v>
      </c>
    </row>
    <row r="31" spans="1:3" x14ac:dyDescent="0.25">
      <c r="A31" s="16">
        <v>12</v>
      </c>
      <c r="B31" s="12" t="s">
        <v>20</v>
      </c>
      <c r="C31" s="16">
        <v>3</v>
      </c>
    </row>
    <row r="32" spans="1:3" x14ac:dyDescent="0.25">
      <c r="A32" s="16">
        <v>13</v>
      </c>
      <c r="B32" s="12" t="s">
        <v>21</v>
      </c>
      <c r="C32" s="16">
        <v>4</v>
      </c>
    </row>
    <row r="33" spans="1:3" x14ac:dyDescent="0.25">
      <c r="A33" s="16">
        <v>14</v>
      </c>
      <c r="B33" s="12" t="s">
        <v>23</v>
      </c>
      <c r="C33" s="16">
        <v>4</v>
      </c>
    </row>
    <row r="34" spans="1:3" x14ac:dyDescent="0.25">
      <c r="A34" s="16">
        <v>15</v>
      </c>
      <c r="B34" s="12" t="s">
        <v>24</v>
      </c>
      <c r="C34" s="16">
        <v>5</v>
      </c>
    </row>
    <row r="35" spans="1:3" x14ac:dyDescent="0.25">
      <c r="A35" s="16">
        <v>16</v>
      </c>
      <c r="B35" s="12" t="s">
        <v>25</v>
      </c>
      <c r="C35" s="16">
        <v>4</v>
      </c>
    </row>
    <row r="36" spans="1:3" x14ac:dyDescent="0.25">
      <c r="A36" s="16">
        <v>17</v>
      </c>
      <c r="B36" s="12" t="s">
        <v>26</v>
      </c>
      <c r="C36" s="16">
        <v>4</v>
      </c>
    </row>
    <row r="37" spans="1:3" x14ac:dyDescent="0.25">
      <c r="A37" s="16">
        <v>18</v>
      </c>
      <c r="B37" s="12" t="s">
        <v>28</v>
      </c>
      <c r="C37" s="16">
        <v>3</v>
      </c>
    </row>
    <row r="38" spans="1:3" x14ac:dyDescent="0.25">
      <c r="A38" s="16">
        <v>19</v>
      </c>
      <c r="B38" s="12" t="s">
        <v>29</v>
      </c>
      <c r="C38" s="16">
        <v>5</v>
      </c>
    </row>
    <row r="39" spans="1:3" x14ac:dyDescent="0.25">
      <c r="A39" s="16">
        <v>20</v>
      </c>
      <c r="B39" s="12" t="s">
        <v>30</v>
      </c>
      <c r="C39" s="16">
        <v>5</v>
      </c>
    </row>
    <row r="41" spans="1:3" x14ac:dyDescent="0.25">
      <c r="A41" s="22" t="s">
        <v>63</v>
      </c>
      <c r="B41" s="22"/>
      <c r="C41" s="22"/>
    </row>
  </sheetData>
  <mergeCells count="5">
    <mergeCell ref="A16:C16"/>
    <mergeCell ref="A17:C17"/>
    <mergeCell ref="A7:C7"/>
    <mergeCell ref="A6:C6"/>
    <mergeCell ref="A8:C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showGridLines="0" topLeftCell="A16" workbookViewId="0">
      <selection activeCell="B40" sqref="B40"/>
    </sheetView>
  </sheetViews>
  <sheetFormatPr baseColWidth="10" defaultColWidth="9.140625" defaultRowHeight="15" x14ac:dyDescent="0.25"/>
  <cols>
    <col min="1" max="1" width="29.85546875" style="1" customWidth="1"/>
    <col min="2" max="2" width="69.42578125" style="1" customWidth="1"/>
    <col min="3" max="3" width="15.140625" style="5" customWidth="1"/>
    <col min="4" max="4" width="7.140625" style="1" customWidth="1"/>
    <col min="5" max="5" width="2.42578125" style="1" customWidth="1"/>
    <col min="6" max="6" width="9.85546875" style="1" customWidth="1"/>
    <col min="7" max="7" width="2.85546875" style="1" customWidth="1"/>
    <col min="8" max="16384" width="9.140625" style="1"/>
  </cols>
  <sheetData>
    <row r="1" spans="1:6" ht="18.75" x14ac:dyDescent="0.3">
      <c r="A1" s="37" t="s">
        <v>64</v>
      </c>
      <c r="B1" s="38"/>
      <c r="C1" s="38"/>
      <c r="D1" s="38"/>
      <c r="E1" s="38"/>
      <c r="F1" s="38"/>
    </row>
    <row r="2" spans="1:6" x14ac:dyDescent="0.25">
      <c r="A2" s="38" t="s">
        <v>0</v>
      </c>
      <c r="B2" s="38"/>
      <c r="C2" s="38"/>
      <c r="D2" s="38"/>
      <c r="E2" s="38"/>
      <c r="F2" s="38"/>
    </row>
    <row r="3" spans="1:6" ht="30" x14ac:dyDescent="0.25">
      <c r="A3" s="2" t="s">
        <v>1</v>
      </c>
      <c r="B3" s="3" t="s">
        <v>2</v>
      </c>
      <c r="C3" s="2" t="s">
        <v>3</v>
      </c>
      <c r="D3" s="3" t="s">
        <v>4</v>
      </c>
      <c r="F3" s="4" t="s">
        <v>5</v>
      </c>
    </row>
    <row r="4" spans="1:6" x14ac:dyDescent="0.25">
      <c r="A4" s="5">
        <v>1</v>
      </c>
      <c r="B4" s="1" t="s">
        <v>6</v>
      </c>
      <c r="C4" s="5">
        <v>5</v>
      </c>
      <c r="D4" s="1" t="s">
        <v>7</v>
      </c>
    </row>
    <row r="5" spans="1:6" x14ac:dyDescent="0.25">
      <c r="A5" s="5">
        <v>2</v>
      </c>
      <c r="B5" s="1" t="s">
        <v>8</v>
      </c>
      <c r="C5" s="5">
        <v>4</v>
      </c>
      <c r="D5" s="1" t="s">
        <v>7</v>
      </c>
    </row>
    <row r="6" spans="1:6" x14ac:dyDescent="0.25">
      <c r="A6" s="5">
        <v>3</v>
      </c>
      <c r="B6" s="1" t="s">
        <v>9</v>
      </c>
      <c r="C6" s="5">
        <v>5</v>
      </c>
      <c r="D6" s="1" t="s">
        <v>7</v>
      </c>
    </row>
    <row r="7" spans="1:6" x14ac:dyDescent="0.25">
      <c r="A7" s="5">
        <v>4</v>
      </c>
      <c r="B7" s="1" t="s">
        <v>10</v>
      </c>
      <c r="C7" s="5">
        <v>4</v>
      </c>
      <c r="D7" s="1" t="s">
        <v>7</v>
      </c>
    </row>
    <row r="8" spans="1:6" x14ac:dyDescent="0.25">
      <c r="A8" s="5">
        <v>5</v>
      </c>
      <c r="B8" s="1" t="s">
        <v>11</v>
      </c>
      <c r="C8" s="5">
        <v>4</v>
      </c>
      <c r="D8" s="1" t="s">
        <v>12</v>
      </c>
    </row>
    <row r="9" spans="1:6" x14ac:dyDescent="0.25">
      <c r="A9" s="5">
        <v>6</v>
      </c>
      <c r="B9" s="1" t="s">
        <v>13</v>
      </c>
      <c r="C9" s="5">
        <v>3</v>
      </c>
      <c r="D9" s="1" t="s">
        <v>12</v>
      </c>
    </row>
    <row r="10" spans="1:6" x14ac:dyDescent="0.25">
      <c r="A10" s="5">
        <v>7</v>
      </c>
      <c r="B10" s="1" t="s">
        <v>14</v>
      </c>
      <c r="C10" s="5">
        <v>3</v>
      </c>
      <c r="D10" s="1" t="s">
        <v>12</v>
      </c>
    </row>
    <row r="11" spans="1:6" x14ac:dyDescent="0.25">
      <c r="A11" s="5">
        <v>8</v>
      </c>
      <c r="B11" s="1" t="s">
        <v>15</v>
      </c>
      <c r="C11" s="5">
        <v>3</v>
      </c>
      <c r="D11" s="1" t="s">
        <v>12</v>
      </c>
    </row>
    <row r="12" spans="1:6" x14ac:dyDescent="0.25">
      <c r="A12" s="5">
        <v>9</v>
      </c>
      <c r="B12" s="1" t="s">
        <v>16</v>
      </c>
      <c r="C12" s="5">
        <v>3</v>
      </c>
      <c r="D12" s="1" t="s">
        <v>17</v>
      </c>
    </row>
    <row r="13" spans="1:6" x14ac:dyDescent="0.25">
      <c r="A13" s="5">
        <v>10</v>
      </c>
      <c r="B13" s="1" t="s">
        <v>18</v>
      </c>
      <c r="C13" s="5">
        <v>2</v>
      </c>
      <c r="D13" s="1" t="s">
        <v>17</v>
      </c>
    </row>
    <row r="14" spans="1:6" x14ac:dyDescent="0.25">
      <c r="A14" s="5">
        <v>11</v>
      </c>
      <c r="B14" s="1" t="s">
        <v>19</v>
      </c>
      <c r="C14" s="5">
        <v>2</v>
      </c>
      <c r="D14" s="1" t="s">
        <v>17</v>
      </c>
    </row>
    <row r="15" spans="1:6" x14ac:dyDescent="0.25">
      <c r="A15" s="5">
        <v>12</v>
      </c>
      <c r="B15" s="1" t="s">
        <v>20</v>
      </c>
      <c r="C15" s="5">
        <v>3</v>
      </c>
      <c r="D15" s="1" t="s">
        <v>17</v>
      </c>
    </row>
    <row r="16" spans="1:6" x14ac:dyDescent="0.25">
      <c r="A16" s="5">
        <v>13</v>
      </c>
      <c r="B16" s="1" t="s">
        <v>21</v>
      </c>
      <c r="C16" s="5">
        <v>4</v>
      </c>
      <c r="D16" s="1" t="s">
        <v>22</v>
      </c>
    </row>
    <row r="17" spans="1:6" x14ac:dyDescent="0.25">
      <c r="A17" s="5">
        <v>14</v>
      </c>
      <c r="B17" s="1" t="s">
        <v>23</v>
      </c>
      <c r="C17" s="5">
        <v>4</v>
      </c>
      <c r="D17" s="1" t="s">
        <v>22</v>
      </c>
    </row>
    <row r="18" spans="1:6" x14ac:dyDescent="0.25">
      <c r="A18" s="5">
        <v>15</v>
      </c>
      <c r="B18" s="1" t="s">
        <v>24</v>
      </c>
      <c r="C18" s="5">
        <v>5</v>
      </c>
      <c r="D18" s="1" t="s">
        <v>22</v>
      </c>
    </row>
    <row r="19" spans="1:6" x14ac:dyDescent="0.25">
      <c r="A19" s="5">
        <v>16</v>
      </c>
      <c r="B19" s="1" t="s">
        <v>25</v>
      </c>
      <c r="C19" s="5">
        <v>4</v>
      </c>
      <c r="D19" s="1" t="s">
        <v>22</v>
      </c>
    </row>
    <row r="20" spans="1:6" x14ac:dyDescent="0.25">
      <c r="A20" s="5">
        <v>17</v>
      </c>
      <c r="B20" s="1" t="s">
        <v>26</v>
      </c>
      <c r="C20" s="5">
        <v>4</v>
      </c>
      <c r="D20" s="1" t="s">
        <v>27</v>
      </c>
    </row>
    <row r="21" spans="1:6" x14ac:dyDescent="0.25">
      <c r="A21" s="5">
        <v>18</v>
      </c>
      <c r="B21" s="1" t="s">
        <v>28</v>
      </c>
      <c r="C21" s="5">
        <v>3</v>
      </c>
      <c r="D21" s="1" t="s">
        <v>27</v>
      </c>
    </row>
    <row r="22" spans="1:6" x14ac:dyDescent="0.25">
      <c r="A22" s="5">
        <v>19</v>
      </c>
      <c r="B22" s="1" t="s">
        <v>29</v>
      </c>
      <c r="C22" s="5">
        <v>5</v>
      </c>
      <c r="D22" s="1" t="s">
        <v>27</v>
      </c>
    </row>
    <row r="23" spans="1:6" x14ac:dyDescent="0.25">
      <c r="A23" s="5">
        <v>20</v>
      </c>
      <c r="B23" s="1" t="s">
        <v>30</v>
      </c>
      <c r="C23" s="5">
        <v>5</v>
      </c>
      <c r="D23" s="1" t="s">
        <v>27</v>
      </c>
    </row>
    <row r="25" spans="1:6" x14ac:dyDescent="0.25">
      <c r="A25" s="3" t="s">
        <v>45</v>
      </c>
    </row>
    <row r="26" spans="1:6" x14ac:dyDescent="0.25">
      <c r="A26" s="6" t="s">
        <v>65</v>
      </c>
      <c r="C26" s="1"/>
      <c r="F26" s="1">
        <f>AVERAGEIF(D4:D23,"C",C4:C23)</f>
        <v>4.5</v>
      </c>
    </row>
    <row r="27" spans="1:6" x14ac:dyDescent="0.25">
      <c r="A27" s="7" t="s">
        <v>66</v>
      </c>
      <c r="C27" s="1"/>
      <c r="F27" s="1">
        <f>AVERAGEIF(D4:D23,"N",C4:C23)</f>
        <v>3.25</v>
      </c>
    </row>
    <row r="28" spans="1:6" x14ac:dyDescent="0.25">
      <c r="A28" s="8" t="s">
        <v>67</v>
      </c>
      <c r="C28" s="1"/>
      <c r="F28" s="1">
        <f>AVERAGEIF(D4:D23,"A",C4:C23)</f>
        <v>2.5</v>
      </c>
    </row>
    <row r="29" spans="1:6" x14ac:dyDescent="0.25">
      <c r="A29" s="10" t="s">
        <v>68</v>
      </c>
      <c r="C29" s="1"/>
      <c r="F29" s="1">
        <f>AVERAGEIF(D4:D23,"E",C4:C23)</f>
        <v>4.25</v>
      </c>
    </row>
    <row r="30" spans="1:6" x14ac:dyDescent="0.25">
      <c r="A30" s="32" t="s">
        <v>69</v>
      </c>
      <c r="C30" s="1"/>
      <c r="F30" s="1">
        <f>AVERAGEIF(D4:D23,"O",C4:C23)</f>
        <v>4.25</v>
      </c>
    </row>
    <row r="34" spans="1:2" x14ac:dyDescent="0.25">
      <c r="A34" s="9" t="s">
        <v>31</v>
      </c>
      <c r="B34" s="1" t="str">
        <f>IF(F26&gt;=4,"Alta Responsabilidad: Persona confiable, disciplinada y con apego a las normas.",IF(F26&gt;=2.5,"Responsabilidad Moderada: Cumple tareas, aunque puede necesitar supervisión.","Baja Responsabilidad: Riesgo de incumplir protocolos o ser desorganizado."))</f>
        <v>Alta Responsabilidad: Persona confiable, disciplinada y con apego a las normas.</v>
      </c>
    </row>
    <row r="36" spans="1:2" x14ac:dyDescent="0.25">
      <c r="A36" s="9" t="s">
        <v>32</v>
      </c>
      <c r="B36" s="1" t="str">
        <f>IF(F27&gt;=4,"Alto Neuroticismo: Puede estresarse fácilmente, baja tolerancia a la presión.",IF(F27&gt;=2.5,"Neuroticismo Moderado: Maneja el estrés de manera aceptable, aunque a veces se inquieta.","Bajo Neuroticismo: Mantiene la calma bajo presión, emocionalmente estable."))</f>
        <v>Neuroticismo Moderado: Maneja el estrés de manera aceptable, aunque a veces se inquieta.</v>
      </c>
    </row>
    <row r="38" spans="1:2" x14ac:dyDescent="0.25">
      <c r="A38" s="9" t="s">
        <v>33</v>
      </c>
      <c r="B38" s="1" t="str">
        <f>IF(F28&gt;=4,"Alta Amabilidad: Respetuoso, empático, buen manejo de conflictos.",IF(F28&gt;=2.5,"Amabilidad Moderada: Generalmente cordial, aunque puede mostrarse firme en ocasiones.","Baja Amabilidad: Tiende a ser rudo o poco empático en el trato."))</f>
        <v>Amabilidad Moderada: Generalmente cordial, aunque puede mostrarse firme en ocasiones.</v>
      </c>
    </row>
    <row r="40" spans="1:2" x14ac:dyDescent="0.25">
      <c r="A40" s="9" t="s">
        <v>34</v>
      </c>
      <c r="B40" s="1" t="str">
        <f>IF(F29&gt;=4,"Alta Extraversión: Comunicativo, buen trabajo en equipo, liderazgo en situaciones sociales.",IF(F29&gt;=2.5,"Extraversión Moderada: Se comunica cuando es necesario, prefiere un equilibrio social.","Baja Extraversión: Reservado, más adecuado para tareas solitarias o de vigilancia pasiva."))</f>
        <v>Alta Extraversión: Comunicativo, buen trabajo en equipo, liderazgo en situaciones sociales.</v>
      </c>
    </row>
    <row r="42" spans="1:2" x14ac:dyDescent="0.25">
      <c r="A42" s="9" t="s">
        <v>35</v>
      </c>
      <c r="B42" s="1" t="str">
        <f>IF(F30&gt;=4,"Alta Apertura: Flexible, adaptable, aprende rápido nuevos procedimientos.",IF(F30&gt;=2.5,"Apertura Moderada: Puede adaptarse, aunque prefiere la rutina.","Baja Apertura: Le cuesta adaptarse a cambios, prefiere métodos tradicionales."))</f>
        <v>Alta Apertura: Flexible, adaptable, aprende rápido nuevos procedimientos.</v>
      </c>
    </row>
  </sheetData>
  <mergeCells count="2">
    <mergeCell ref="A1:F1"/>
    <mergeCell ref="A2:F2"/>
  </mergeCell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showGridLines="0" topLeftCell="A19" workbookViewId="0">
      <selection activeCell="A26" sqref="A26:C26"/>
    </sheetView>
  </sheetViews>
  <sheetFormatPr baseColWidth="10" defaultColWidth="9.140625" defaultRowHeight="15" x14ac:dyDescent="0.25"/>
  <cols>
    <col min="1" max="1" width="23.28515625" customWidth="1"/>
    <col min="2" max="2" width="12.85546875" customWidth="1"/>
    <col min="3" max="3" width="45.85546875" customWidth="1"/>
    <col min="4" max="4" width="4.7109375" customWidth="1"/>
  </cols>
  <sheetData>
    <row r="1" spans="1:3" ht="47.25" customHeight="1" x14ac:dyDescent="0.3">
      <c r="A1" s="43"/>
      <c r="B1" s="43"/>
      <c r="C1" s="43"/>
    </row>
    <row r="2" spans="1:3" ht="18.75" x14ac:dyDescent="0.3">
      <c r="A2" s="43" t="s">
        <v>36</v>
      </c>
      <c r="B2" s="43"/>
      <c r="C2" s="43"/>
    </row>
    <row r="3" spans="1:3" ht="23.25" customHeight="1" x14ac:dyDescent="0.25">
      <c r="A3" s="11" t="s">
        <v>37</v>
      </c>
      <c r="B3" s="41" t="s">
        <v>48</v>
      </c>
      <c r="C3" s="41"/>
    </row>
    <row r="4" spans="1:3" ht="17.25" customHeight="1" x14ac:dyDescent="0.25">
      <c r="A4" s="11" t="s">
        <v>38</v>
      </c>
      <c r="B4" s="23">
        <v>45889</v>
      </c>
    </row>
    <row r="5" spans="1:3" ht="7.5" customHeight="1" x14ac:dyDescent="0.25"/>
    <row r="6" spans="1:3" ht="33" customHeight="1" x14ac:dyDescent="0.25">
      <c r="A6" s="24" t="s">
        <v>39</v>
      </c>
      <c r="B6" s="25" t="s">
        <v>5</v>
      </c>
      <c r="C6" s="26" t="s">
        <v>40</v>
      </c>
    </row>
    <row r="7" spans="1:3" ht="30" x14ac:dyDescent="0.25">
      <c r="A7" t="s">
        <v>31</v>
      </c>
      <c r="B7" s="27">
        <f>'Evaluacion Test Big Five'!F26</f>
        <v>4.5</v>
      </c>
      <c r="C7" s="28" t="str">
        <f>'Evaluacion Test Big Five'!B34</f>
        <v>Alta Responsabilidad: Persona confiable, disciplinada y con apego a las normas.</v>
      </c>
    </row>
    <row r="8" spans="1:3" ht="30" x14ac:dyDescent="0.25">
      <c r="A8" t="s">
        <v>32</v>
      </c>
      <c r="B8" s="27">
        <f>'Evaluacion Test Big Five'!F27</f>
        <v>3.25</v>
      </c>
      <c r="C8" s="28" t="str">
        <f>'Evaluacion Test Big Five'!B36</f>
        <v>Neuroticismo Moderado: Maneja el estrés de manera aceptable, aunque a veces se inquieta.</v>
      </c>
    </row>
    <row r="9" spans="1:3" ht="30" x14ac:dyDescent="0.25">
      <c r="A9" t="s">
        <v>33</v>
      </c>
      <c r="B9" s="27">
        <f>'Evaluacion Test Big Five'!F28</f>
        <v>2.5</v>
      </c>
      <c r="C9" s="28" t="str">
        <f>'Evaluacion Test Big Five'!B38</f>
        <v>Amabilidad Moderada: Generalmente cordial, aunque puede mostrarse firme en ocasiones.</v>
      </c>
    </row>
    <row r="10" spans="1:3" ht="30" x14ac:dyDescent="0.25">
      <c r="A10" t="s">
        <v>34</v>
      </c>
      <c r="B10" s="27">
        <f>'Evaluacion Test Big Five'!F29</f>
        <v>4.25</v>
      </c>
      <c r="C10" s="28" t="str">
        <f>'Evaluacion Test Big Five'!B40</f>
        <v>Alta Extraversión: Comunicativo, buen trabajo en equipo, liderazgo en situaciones sociales.</v>
      </c>
    </row>
    <row r="11" spans="1:3" ht="30" x14ac:dyDescent="0.25">
      <c r="A11" t="s">
        <v>35</v>
      </c>
      <c r="B11" s="27">
        <f>'Evaluacion Test Big Five'!F30</f>
        <v>4.25</v>
      </c>
      <c r="C11" s="28" t="str">
        <f>'Evaluacion Test Big Five'!B42</f>
        <v>Alta Apertura: Flexible, adaptable, aprende rápido nuevos procedimientos.</v>
      </c>
    </row>
    <row r="22" spans="1:3" ht="8.25" customHeight="1" x14ac:dyDescent="0.25"/>
    <row r="23" spans="1:3" ht="17.25" customHeight="1" x14ac:dyDescent="0.35">
      <c r="A23" s="29" t="s">
        <v>41</v>
      </c>
    </row>
    <row r="24" spans="1:3" x14ac:dyDescent="0.25">
      <c r="A24" s="34" t="s">
        <v>42</v>
      </c>
      <c r="B24" s="34"/>
      <c r="C24" s="34"/>
    </row>
    <row r="25" spans="1:3" ht="29.25" customHeight="1" x14ac:dyDescent="0.35">
      <c r="A25" s="29" t="s">
        <v>43</v>
      </c>
      <c r="B25" s="29"/>
      <c r="C25" s="29"/>
    </row>
    <row r="26" spans="1:3" ht="54.75" customHeight="1" x14ac:dyDescent="0.25">
      <c r="A26" s="42"/>
      <c r="B26" s="42"/>
      <c r="C26" s="42"/>
    </row>
    <row r="27" spans="1:3" ht="10.5" customHeight="1" x14ac:dyDescent="0.25"/>
    <row r="28" spans="1:3" ht="18.75" x14ac:dyDescent="0.3">
      <c r="A28" s="39" t="s">
        <v>44</v>
      </c>
      <c r="B28" s="40"/>
      <c r="C28" s="40"/>
    </row>
    <row r="32" spans="1:3" ht="33" customHeight="1" x14ac:dyDescent="0.25">
      <c r="A32" s="30"/>
      <c r="B32" s="30"/>
    </row>
    <row r="33" spans="1:1" x14ac:dyDescent="0.25">
      <c r="A33" s="31" t="s">
        <v>46</v>
      </c>
    </row>
    <row r="34" spans="1:1" x14ac:dyDescent="0.25">
      <c r="A34" s="31" t="s">
        <v>47</v>
      </c>
    </row>
  </sheetData>
  <mergeCells count="6">
    <mergeCell ref="A28:C28"/>
    <mergeCell ref="B3:C3"/>
    <mergeCell ref="A24:C24"/>
    <mergeCell ref="A26:C26"/>
    <mergeCell ref="A1:C1"/>
    <mergeCell ref="A2:C2"/>
  </mergeCells>
  <pageMargins left="0.75" right="0.75" top="1" bottom="1" header="0.5" footer="0.5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0</xdr:col>
                    <xdr:colOff>533400</xdr:colOff>
                    <xdr:row>27</xdr:row>
                    <xdr:rowOff>190500</xdr:rowOff>
                  </from>
                  <to>
                    <xdr:col>0</xdr:col>
                    <xdr:colOff>1247775</xdr:colOff>
                    <xdr:row>30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219075</xdr:colOff>
                    <xdr:row>27</xdr:row>
                    <xdr:rowOff>190500</xdr:rowOff>
                  </from>
                  <to>
                    <xdr:col>2</xdr:col>
                    <xdr:colOff>76200</xdr:colOff>
                    <xdr:row>30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Cartilla Preguntas</vt:lpstr>
      <vt:lpstr>Evaluacion Test Big Five</vt:lpstr>
      <vt:lpstr>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Rubi Quezada</cp:lastModifiedBy>
  <cp:lastPrinted>2025-09-01T01:09:29Z</cp:lastPrinted>
  <dcterms:created xsi:type="dcterms:W3CDTF">2025-08-25T05:43:51Z</dcterms:created>
  <dcterms:modified xsi:type="dcterms:W3CDTF">2025-09-01T18:14:02Z</dcterms:modified>
</cp:coreProperties>
</file>