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rquezada\Desktop\TEST PARA GUARDIAS\"/>
    </mc:Choice>
  </mc:AlternateContent>
  <xr:revisionPtr revIDLastSave="0" documentId="13_ncr:1_{496DA4D2-AF11-4A41-9AF3-D9AE929B772B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CUESTIONARIO " sheetId="2" r:id="rId1"/>
    <sheet name="VALORACION" sheetId="3" r:id="rId2"/>
    <sheet name="RESULTADOS " sheetId="1" r:id="rId3"/>
    <sheet name="INFORME" sheetId="4" r:id="rId4"/>
  </sheets>
  <calcPr calcId="191029"/>
</workbook>
</file>

<file path=xl/calcChain.xml><?xml version="1.0" encoding="utf-8"?>
<calcChain xmlns="http://schemas.openxmlformats.org/spreadsheetml/2006/main">
  <c r="D9" i="4" l="1"/>
  <c r="E19" i="1"/>
  <c r="E18" i="1"/>
  <c r="C42" i="1"/>
  <c r="C41" i="1"/>
  <c r="C40" i="1"/>
  <c r="C39" i="1"/>
  <c r="D4" i="4"/>
  <c r="E16" i="1" l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B41" i="1" l="1"/>
  <c r="B40" i="1"/>
  <c r="B42" i="1"/>
  <c r="B39" i="1"/>
  <c r="A36" i="1"/>
  <c r="D10" i="4" l="1"/>
</calcChain>
</file>

<file path=xl/sharedStrings.xml><?xml version="1.0" encoding="utf-8"?>
<sst xmlns="http://schemas.openxmlformats.org/spreadsheetml/2006/main" count="241" uniqueCount="114">
  <si>
    <t>Sección</t>
  </si>
  <si>
    <t>Pregunta</t>
  </si>
  <si>
    <t>Respuesta</t>
  </si>
  <si>
    <t>Valor respuesta</t>
  </si>
  <si>
    <t>Puntaje</t>
  </si>
  <si>
    <t>Honestidad Personal</t>
  </si>
  <si>
    <t>Cumplimiento de Reglas</t>
  </si>
  <si>
    <t>Lealtad y Presión Social</t>
  </si>
  <si>
    <t>Tolerancia a Tentaciones</t>
  </si>
  <si>
    <t>¿Qué harías si alguien ofrece un favor a cambio de tu silencio?</t>
  </si>
  <si>
    <t>Puntaje Total</t>
  </si>
  <si>
    <t>Parcial</t>
  </si>
  <si>
    <t>c</t>
  </si>
  <si>
    <t>Incorrecta</t>
  </si>
  <si>
    <t>c) “Las reglas están para cumplirse siempre.”</t>
  </si>
  <si>
    <t>b)“Cada situación es distinta, lo importante es resolver.”</t>
  </si>
  <si>
    <t>a) “Las reglas son guías, a veces hay excepciones.”</t>
  </si>
  <si>
    <t>“¿Cuál frase representa mejor tu pensamiento?”</t>
  </si>
  <si>
    <t>c) Sí, no tiene nada de malo.</t>
  </si>
  <si>
    <t>b) No, porque puede interpretarse como soborno.</t>
  </si>
  <si>
    <t>a) Depende de la persona.</t>
  </si>
  <si>
    <t>“¿Aceptarías un regalo pequeño (ej. una comida, un café) de alguien externo a la empresa?”</t>
  </si>
  <si>
    <t>c) Desobedecer la orden.</t>
  </si>
  <si>
    <t>b) Faltar a la verdad.</t>
  </si>
  <si>
    <t>“¿Qué es peor: faltar a la verdad o desobedecer una orden directa?”</t>
  </si>
  <si>
    <t>c) Me niego aunque pueda tener problemas.</t>
  </si>
  <si>
    <t>b) Lo cuestiono y busco otra solución.</t>
  </si>
  <si>
    <t>a) Lo cumplo porque es mi jefe.</t>
  </si>
  <si>
    <t>c) Hablo con él antes de reportar.</t>
  </si>
  <si>
    <t>b) No lo reporto para no traicionarlo.</t>
  </si>
  <si>
    <t>a) Lo reporto inmediatamente.</t>
  </si>
  <si>
    <t>“Si descubres que un compañero roba, pero es tu amigo, ¿qué harías primero?”</t>
  </si>
  <si>
    <t>c)No, nunca.</t>
  </si>
  <si>
    <t>b) Tal vez, pero no lo considero grave.</t>
  </si>
  <si>
    <t>a) Sí, algunas veces.</t>
  </si>
  <si>
    <t>“¿Has mentido alguna vez en el trabajo para evitar un problema?”</t>
  </si>
  <si>
    <t>c) Depende de la situación.</t>
  </si>
  <si>
    <t>b) Sí, cualquier cosa que no sea tuya es robo.</t>
  </si>
  <si>
    <t>a) No, porque es algo mínimo.</t>
  </si>
  <si>
    <t>Si alguien se lleva algo de poco valor de la empresa (ej. un bolígrafo), ¿lo consideras un robo?”</t>
  </si>
  <si>
    <t>c) Nunca, es indebido.</t>
  </si>
  <si>
    <t>b) Si no afecta mi trabajo.</t>
  </si>
  <si>
    <t>a) Siempre que sea algo pequeño.</t>
  </si>
  <si>
    <t>¿Cuándo es aceptable recibir un “agradecimiento” (propina)?</t>
  </si>
  <si>
    <t>Opciones de Respuesta</t>
  </si>
  <si>
    <t>N°</t>
  </si>
  <si>
    <t>c) No me involucro</t>
  </si>
  <si>
    <t>b) Espero a ver si ocurre</t>
  </si>
  <si>
    <t>a) Lo hago porque es mi jefe.</t>
  </si>
  <si>
    <t>Si tu jefe directo te pide hacer algo que va contra el reglamento, ¿cómo reaccionas?</t>
  </si>
  <si>
    <t>c) Lo dejo pasar para evitar problemas.</t>
  </si>
  <si>
    <t>b) Lo cubro para que no lo descubran</t>
  </si>
  <si>
    <t>a) Le pido registrarse de todas formas.</t>
  </si>
  <si>
    <t>En un control de acceso, un visitante insiste en que es “amigo del jefe” y no necesita registrarse.</t>
  </si>
  <si>
    <t>c)Acepto sin problema.</t>
  </si>
  <si>
    <t>b) Le digo que no puedo, debe pedir permiso.</t>
  </si>
  <si>
    <t>a) Lo cubro, pero me incomoda.</t>
  </si>
  <si>
    <t>Durante tu turno, un compañero te pide que lo cubras mientras se ausenta 30 minutos sin permiso</t>
  </si>
  <si>
    <t>c) Le sugiero reportar la verdad y lo apoyo.</t>
  </si>
  <si>
    <t>b) Le digo que prefiero no modificar registros.</t>
  </si>
  <si>
    <t>a) Lo hago, no es grave</t>
  </si>
  <si>
    <t>Tu supervisor te pide “ajustar” el reporte de asistencia porque él llegó tarde. ¿Qué harías?</t>
  </si>
  <si>
    <r>
      <rPr>
        <b/>
        <sz val="11"/>
        <color theme="1"/>
        <rFont val="Calibri"/>
        <family val="2"/>
        <scheme val="minor"/>
      </rPr>
      <t>Instrucciones:</t>
    </r>
    <r>
      <rPr>
        <sz val="11"/>
        <color theme="1"/>
        <rFont val="Calibri"/>
        <family val="2"/>
        <scheme val="minor"/>
      </rPr>
      <t xml:space="preserve"> Conteste con sinceridad. No hay respuestas correctas o incorrectas, lo importante es la honestidad.</t>
    </r>
  </si>
  <si>
    <t xml:space="preserve">Test de Integridad </t>
  </si>
  <si>
    <t>¿Si un grupo de trabajadores se burla de alguien que cumple estrictamente las normas, qué harías?</t>
  </si>
  <si>
    <t>a) Defiendo el cumplimiento de las normas.</t>
  </si>
  <si>
    <t>b) No digo nada.</t>
  </si>
  <si>
    <t>c) Me uno a las burlas.</t>
  </si>
  <si>
    <t>¿Dirías siempre la verdad a tu supervisor aunque te perjudique?</t>
  </si>
  <si>
    <t>a) Si</t>
  </si>
  <si>
    <t>b) No.</t>
  </si>
  <si>
    <t>¿Aceptarías que un familiar tuyo trabaje contigo aunque incumpla reglas menores?</t>
  </si>
  <si>
    <t>a) No, lo reportaría igual.</t>
  </si>
  <si>
    <t>b) Lo cubriría en cosas pequeñas.</t>
  </si>
  <si>
    <t>c) Siempre lo encubriría.</t>
  </si>
  <si>
    <t>Tu supervisor te pide “ajustar” el reporte de asistencia porque él llegó tarde. ¿Si alguien se lleva algo de poco valor de la empresa (ej. un bolígrafo), ¿lo consideras un robo?”</t>
  </si>
  <si>
    <t>CUESTIONARIO DE INTEGRIDAD – PARA GUARDIAS DE SEGURIDAD</t>
  </si>
  <si>
    <t>b</t>
  </si>
  <si>
    <t xml:space="preserve">a </t>
  </si>
  <si>
    <t>a</t>
  </si>
  <si>
    <t>Correcta</t>
  </si>
  <si>
    <t xml:space="preserve">a)Ambas son iguales de graves </t>
  </si>
  <si>
    <t xml:space="preserve">c </t>
  </si>
  <si>
    <t xml:space="preserve">RESULTADO </t>
  </si>
  <si>
    <t xml:space="preserve">PUNTAJE </t>
  </si>
  <si>
    <t>VALORACION</t>
  </si>
  <si>
    <t>Informe de Evaluación de Integridad</t>
  </si>
  <si>
    <t xml:space="preserve">Nombre del Guardia: </t>
  </si>
  <si>
    <t>Fecha de Evaluacion</t>
  </si>
  <si>
    <t xml:space="preserve">Nombre del Evaluado: </t>
  </si>
  <si>
    <t>Fecha Evaluacion</t>
  </si>
  <si>
    <t>Situaciones Éticas (elige la opción que harías)</t>
  </si>
  <si>
    <t>📊 RESULTADOS</t>
  </si>
  <si>
    <t>Puntaje Obtenido</t>
  </si>
  <si>
    <t>📌 INTERPRETACIÓN</t>
  </si>
  <si>
    <t>El nivel de integridad refleja el grado de honestidad, compromiso ético y cumplimiento de normas del guardia. Los resultados se interpretan de la siguiente manera:</t>
  </si>
  <si>
    <t>✅ RECOMENDACIONES</t>
  </si>
  <si>
    <t>- Mantener la capacitación continua en ética y responsabilidad.</t>
  </si>
  <si>
    <t>- Reforzar la importancia de cumplir protocolos aun sin supervisión.</t>
  </si>
  <si>
    <t>- Promover la cultura de reporte de incidentes y conductas indebidas.</t>
  </si>
  <si>
    <t>- Fomentar la motivación y sentido de pertenencia institucional.</t>
  </si>
  <si>
    <t>Clasificacion</t>
  </si>
  <si>
    <t>Alta Integridad: 22 – 30 pts</t>
  </si>
  <si>
    <t>Integridad Media: 14 – 21 pts</t>
  </si>
  <si>
    <t>Baja Integridad: 0 – 13 pts</t>
  </si>
  <si>
    <t>- Alta Integridad: Puntaje de 22 a 30 Demuestra un comportamiento confiable, ético y responsable.</t>
  </si>
  <si>
    <t>Integridad Media: Puntaje de 14 a 21 Presenta áreas de mejora, requiere seguimiento y refuerzo en valores.</t>
  </si>
  <si>
    <t>Baja Integridad: Puntaje menor a 13 Riesgo alto de incumplimiento de normas y prácticas no éticas.</t>
  </si>
  <si>
    <t>B</t>
  </si>
  <si>
    <t>A</t>
  </si>
  <si>
    <t>C</t>
  </si>
  <si>
    <t xml:space="preserve">CRITERIO </t>
  </si>
  <si>
    <t>/100%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</si>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</sst>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4"/>
      <name val="Calibri"/>
      <family val="2"/>
    </font>
    <font>
      <b/>
      <sz val="12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6"/>
      <color theme="1"/>
      <name val="Cambria"/>
      <family val="1"/>
    </font>
    <font>
      <b/>
      <sz val="13"/>
      <color rgb="FF4F81BD"/>
      <name val="Calibri"/>
      <family val="2"/>
      <scheme val="minor"/>
    </font>
    <font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96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7" borderId="0" xfId="0" applyFont="1" applyFill="1"/>
    <xf numFmtId="0" fontId="1" fillId="8" borderId="0" xfId="0" applyFont="1" applyFill="1"/>
    <xf numFmtId="0" fontId="0" fillId="8" borderId="0" xfId="0" applyFill="1"/>
    <xf numFmtId="0" fontId="2" fillId="8" borderId="0" xfId="0" applyFont="1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9" fillId="0" borderId="7" xfId="0" applyFont="1" applyBorder="1"/>
    <xf numFmtId="0" fontId="1" fillId="0" borderId="7" xfId="0" applyFont="1" applyBorder="1"/>
    <xf numFmtId="0" fontId="11" fillId="0" borderId="7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8" fillId="0" borderId="0" xfId="0" applyFont="1" applyAlignment="1">
      <alignment vertical="center" wrapText="1"/>
    </xf>
    <xf numFmtId="0" fontId="8" fillId="0" borderId="0" xfId="0" applyFont="1"/>
    <xf numFmtId="0" fontId="0" fillId="0" borderId="0" xfId="0" applyAlignment="1">
      <alignment horizontal="left" wrapText="1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0" fillId="0" borderId="7" xfId="0" applyBorder="1" applyAlignment="1">
      <alignment vertical="top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wrapText="1"/>
    </xf>
    <xf numFmtId="0" fontId="0" fillId="5" borderId="0" xfId="0" applyFill="1" applyAlignment="1">
      <alignment horizontal="center" wrapText="1"/>
    </xf>
    <xf numFmtId="0" fontId="0" fillId="5" borderId="0" xfId="0" applyFill="1" applyAlignment="1">
      <alignment horizontal="center"/>
    </xf>
    <xf numFmtId="0" fontId="0" fillId="9" borderId="0" xfId="0" applyFill="1" applyAlignment="1">
      <alignment wrapText="1"/>
    </xf>
    <xf numFmtId="0" fontId="0" fillId="9" borderId="0" xfId="0" applyFill="1" applyAlignment="1">
      <alignment horizontal="center" wrapText="1"/>
    </xf>
    <xf numFmtId="0" fontId="0" fillId="9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wrapText="1"/>
    </xf>
    <xf numFmtId="0" fontId="0" fillId="6" borderId="0" xfId="0" applyFill="1" applyAlignment="1">
      <alignment horizontal="center" wrapText="1"/>
    </xf>
    <xf numFmtId="0" fontId="0" fillId="6" borderId="0" xfId="0" applyFill="1" applyAlignment="1">
      <alignment horizontal="left"/>
    </xf>
    <xf numFmtId="0" fontId="0" fillId="6" borderId="0" xfId="0" applyFill="1" applyAlignment="1">
      <alignment horizontal="center"/>
    </xf>
    <xf numFmtId="0" fontId="0" fillId="13" borderId="0" xfId="0" applyFill="1"/>
    <xf numFmtId="0" fontId="0" fillId="13" borderId="0" xfId="0" applyFill="1" applyAlignment="1">
      <alignment wrapText="1"/>
    </xf>
    <xf numFmtId="0" fontId="0" fillId="13" borderId="0" xfId="0" applyFill="1" applyAlignment="1">
      <alignment horizontal="center" wrapText="1"/>
    </xf>
    <xf numFmtId="0" fontId="0" fillId="13" borderId="0" xfId="0" applyFill="1" applyAlignment="1">
      <alignment horizontal="left"/>
    </xf>
    <xf numFmtId="0" fontId="0" fillId="13" borderId="0" xfId="0" applyFill="1" applyAlignment="1">
      <alignment horizontal="center"/>
    </xf>
    <xf numFmtId="9" fontId="0" fillId="0" borderId="0" xfId="1" applyFont="1" applyAlignment="1">
      <alignment horizontal="right"/>
    </xf>
    <xf numFmtId="9" fontId="0" fillId="0" borderId="1" xfId="1" applyFont="1" applyBorder="1"/>
    <xf numFmtId="0" fontId="1" fillId="14" borderId="1" xfId="0" applyFon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8" borderId="0" xfId="1" applyNumberFormat="1" applyFont="1" applyFill="1"/>
    <xf numFmtId="9" fontId="0" fillId="0" borderId="0" xfId="1" applyFont="1"/>
    <xf numFmtId="0" fontId="1" fillId="0" borderId="5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0" borderId="2" xfId="0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3" fillId="2" borderId="0" xfId="0" applyFont="1" applyFill="1" applyAlignment="1">
      <alignment horizontal="left"/>
    </xf>
    <xf numFmtId="0" fontId="7" fillId="8" borderId="2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/>
    <xf numFmtId="164" fontId="0" fillId="0" borderId="0" xfId="0" applyNumberFormat="1" applyAlignment="1">
      <alignment horizontal="center"/>
    </xf>
    <xf numFmtId="164" fontId="0" fillId="0" borderId="8" xfId="0" applyNumberFormat="1" applyBorder="1" applyAlignment="1">
      <alignment horizontal="center"/>
    </xf>
    <xf numFmtId="0" fontId="10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left" vertical="center" wrapText="1"/>
    </xf>
    <xf numFmtId="49" fontId="8" fillId="0" borderId="0" xfId="0" applyNumberFormat="1" applyFont="1" applyAlignment="1">
      <alignment horizontal="left" vertical="center" wrapText="1"/>
    </xf>
    <xf numFmtId="49" fontId="8" fillId="0" borderId="8" xfId="0" applyNumberFormat="1" applyFont="1" applyBorder="1" applyAlignment="1">
      <alignment horizontal="left" vertical="center" wrapText="1"/>
    </xf>
    <xf numFmtId="49" fontId="8" fillId="0" borderId="9" xfId="0" applyNumberFormat="1" applyFont="1" applyBorder="1" applyAlignment="1">
      <alignment horizontal="left" vertical="center" wrapText="1"/>
    </xf>
    <xf numFmtId="49" fontId="8" fillId="0" borderId="10" xfId="0" applyNumberFormat="1" applyFont="1" applyBorder="1" applyAlignment="1">
      <alignment horizontal="left" vertical="center" wrapText="1"/>
    </xf>
    <xf numFmtId="49" fontId="8" fillId="0" borderId="11" xfId="0" applyNumberFormat="1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0" fillId="0" borderId="8" xfId="0" applyBorder="1" applyAlignment="1">
      <alignment horizontal="left" wrapText="1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C"/>
              <a:t>Nivel de Integridad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'RESULTADOS '!$D$18</c:f>
              <c:strCache>
                <c:ptCount val="1"/>
                <c:pt idx="0">
                  <c:v>Puntaje Total</c:v>
                </c:pt>
              </c:strCache>
            </c:strRef>
          </c:cat>
          <c:val>
            <c:numRef>
              <c:f>'RESULTADOS '!$E$18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4-4A0A-B2F3-145350F46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Resultado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Puntaje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CRITERIOS INTEGRIDAD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C30E-41B3-8D96-575B1824E11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C30E-41B3-8D96-575B1824E11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C30E-41B3-8D96-575B1824E11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C30E-41B3-8D96-575B1824E1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'RESULTADOS '!$A$39:$A$42</c:f>
              <c:strCache>
                <c:ptCount val="4"/>
                <c:pt idx="0">
                  <c:v>Honestidad Personal</c:v>
                </c:pt>
                <c:pt idx="1">
                  <c:v>Cumplimiento de Reglas</c:v>
                </c:pt>
                <c:pt idx="2">
                  <c:v>Lealtad y Presión Social</c:v>
                </c:pt>
                <c:pt idx="3">
                  <c:v>Tolerancia a Tentaciones</c:v>
                </c:pt>
              </c:strCache>
            </c:strRef>
          </c:cat>
          <c:val>
            <c:numRef>
              <c:f>'RESULTADOS '!$C$39:$C$42</c:f>
              <c:numCache>
                <c:formatCode>0%</c:formatCode>
                <c:ptCount val="4"/>
                <c:pt idx="0">
                  <c:v>0.83333333333333337</c:v>
                </c:pt>
                <c:pt idx="1">
                  <c:v>0.875</c:v>
                </c:pt>
                <c:pt idx="2">
                  <c:v>0.625</c:v>
                </c:pt>
                <c:pt idx="3">
                  <c:v>0.875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EE-44EE-B6AA-E9E194656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C"/>
              <a:t>Nivel de Integridad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'RESULTADOS '!$D$18</c:f>
              <c:strCache>
                <c:ptCount val="1"/>
                <c:pt idx="0">
                  <c:v>Puntaje Total</c:v>
                </c:pt>
              </c:strCache>
            </c:strRef>
          </c:cat>
          <c:val>
            <c:numRef>
              <c:f>'RESULTADOS '!$E$18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F1-476C-B895-38437B978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Resultado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Puntaje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CRITERIOS INTEGRIDAD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01FF-49B0-9F1F-0FF5F3CAFBC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01FF-49B0-9F1F-0FF5F3CAFBC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01FF-49B0-9F1F-0FF5F3CAFBC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01FF-49B0-9F1F-0FF5F3CAFB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'RESULTADOS '!$A$39:$A$42</c:f>
              <c:strCache>
                <c:ptCount val="4"/>
                <c:pt idx="0">
                  <c:v>Honestidad Personal</c:v>
                </c:pt>
                <c:pt idx="1">
                  <c:v>Cumplimiento de Reglas</c:v>
                </c:pt>
                <c:pt idx="2">
                  <c:v>Lealtad y Presión Social</c:v>
                </c:pt>
                <c:pt idx="3">
                  <c:v>Tolerancia a Tentaciones</c:v>
                </c:pt>
              </c:strCache>
            </c:strRef>
          </c:cat>
          <c:val>
            <c:numRef>
              <c:f>'RESULTADOS '!$C$39:$C$42</c:f>
              <c:numCache>
                <c:formatCode>0%</c:formatCode>
                <c:ptCount val="4"/>
                <c:pt idx="0">
                  <c:v>0.83333333333333337</c:v>
                </c:pt>
                <c:pt idx="1">
                  <c:v>0.875</c:v>
                </c:pt>
                <c:pt idx="2">
                  <c:v>0.625</c:v>
                </c:pt>
                <c:pt idx="3">
                  <c:v>0.875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1FF-49B0-9F1F-0FF5F3CAF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695325</xdr:colOff>
          <xdr:row>12</xdr:row>
          <xdr:rowOff>161925</xdr:rowOff>
        </xdr:from>
        <xdr:to>
          <xdr:col>2</xdr:col>
          <xdr:colOff>1304925</xdr:colOff>
          <xdr:row>14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13</xdr:row>
          <xdr:rowOff>171450</xdr:rowOff>
        </xdr:from>
        <xdr:to>
          <xdr:col>2</xdr:col>
          <xdr:colOff>1295400</xdr:colOff>
          <xdr:row>15</xdr:row>
          <xdr:rowOff>104775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14</xdr:row>
          <xdr:rowOff>142875</xdr:rowOff>
        </xdr:from>
        <xdr:to>
          <xdr:col>2</xdr:col>
          <xdr:colOff>1295400</xdr:colOff>
          <xdr:row>16</xdr:row>
          <xdr:rowOff>104775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695325</xdr:colOff>
          <xdr:row>18</xdr:row>
          <xdr:rowOff>161925</xdr:rowOff>
        </xdr:from>
        <xdr:to>
          <xdr:col>2</xdr:col>
          <xdr:colOff>1304925</xdr:colOff>
          <xdr:row>20</xdr:row>
          <xdr:rowOff>123825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19</xdr:row>
          <xdr:rowOff>171450</xdr:rowOff>
        </xdr:from>
        <xdr:to>
          <xdr:col>2</xdr:col>
          <xdr:colOff>1295400</xdr:colOff>
          <xdr:row>21</xdr:row>
          <xdr:rowOff>133350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20</xdr:row>
          <xdr:rowOff>142875</xdr:rowOff>
        </xdr:from>
        <xdr:to>
          <xdr:col>2</xdr:col>
          <xdr:colOff>1295400</xdr:colOff>
          <xdr:row>22</xdr:row>
          <xdr:rowOff>104775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695325</xdr:colOff>
          <xdr:row>24</xdr:row>
          <xdr:rowOff>161925</xdr:rowOff>
        </xdr:from>
        <xdr:to>
          <xdr:col>2</xdr:col>
          <xdr:colOff>1304925</xdr:colOff>
          <xdr:row>26</xdr:row>
          <xdr:rowOff>123825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25</xdr:row>
          <xdr:rowOff>171450</xdr:rowOff>
        </xdr:from>
        <xdr:to>
          <xdr:col>2</xdr:col>
          <xdr:colOff>1295400</xdr:colOff>
          <xdr:row>27</xdr:row>
          <xdr:rowOff>133350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26</xdr:row>
          <xdr:rowOff>142875</xdr:rowOff>
        </xdr:from>
        <xdr:to>
          <xdr:col>2</xdr:col>
          <xdr:colOff>1295400</xdr:colOff>
          <xdr:row>28</xdr:row>
          <xdr:rowOff>104775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695325</xdr:colOff>
          <xdr:row>30</xdr:row>
          <xdr:rowOff>161925</xdr:rowOff>
        </xdr:from>
        <xdr:to>
          <xdr:col>2</xdr:col>
          <xdr:colOff>1304925</xdr:colOff>
          <xdr:row>32</xdr:row>
          <xdr:rowOff>123825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0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31</xdr:row>
          <xdr:rowOff>171450</xdr:rowOff>
        </xdr:from>
        <xdr:to>
          <xdr:col>2</xdr:col>
          <xdr:colOff>1295400</xdr:colOff>
          <xdr:row>33</xdr:row>
          <xdr:rowOff>133350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0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32</xdr:row>
          <xdr:rowOff>142875</xdr:rowOff>
        </xdr:from>
        <xdr:to>
          <xdr:col>2</xdr:col>
          <xdr:colOff>1295400</xdr:colOff>
          <xdr:row>34</xdr:row>
          <xdr:rowOff>104775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0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695325</xdr:colOff>
          <xdr:row>35</xdr:row>
          <xdr:rowOff>161925</xdr:rowOff>
        </xdr:from>
        <xdr:to>
          <xdr:col>2</xdr:col>
          <xdr:colOff>1304925</xdr:colOff>
          <xdr:row>37</xdr:row>
          <xdr:rowOff>9525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0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36</xdr:row>
          <xdr:rowOff>171450</xdr:rowOff>
        </xdr:from>
        <xdr:to>
          <xdr:col>2</xdr:col>
          <xdr:colOff>1295400</xdr:colOff>
          <xdr:row>38</xdr:row>
          <xdr:rowOff>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0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37</xdr:row>
          <xdr:rowOff>142875</xdr:rowOff>
        </xdr:from>
        <xdr:to>
          <xdr:col>2</xdr:col>
          <xdr:colOff>1295400</xdr:colOff>
          <xdr:row>39</xdr:row>
          <xdr:rowOff>76200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0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695325</xdr:colOff>
          <xdr:row>43</xdr:row>
          <xdr:rowOff>161925</xdr:rowOff>
        </xdr:from>
        <xdr:to>
          <xdr:col>2</xdr:col>
          <xdr:colOff>1304925</xdr:colOff>
          <xdr:row>45</xdr:row>
          <xdr:rowOff>152400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0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44</xdr:row>
          <xdr:rowOff>171450</xdr:rowOff>
        </xdr:from>
        <xdr:to>
          <xdr:col>2</xdr:col>
          <xdr:colOff>1295400</xdr:colOff>
          <xdr:row>46</xdr:row>
          <xdr:rowOff>133350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0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45</xdr:row>
          <xdr:rowOff>142875</xdr:rowOff>
        </xdr:from>
        <xdr:to>
          <xdr:col>2</xdr:col>
          <xdr:colOff>1295400</xdr:colOff>
          <xdr:row>47</xdr:row>
          <xdr:rowOff>104775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0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695325</xdr:colOff>
          <xdr:row>50</xdr:row>
          <xdr:rowOff>161925</xdr:rowOff>
        </xdr:from>
        <xdr:to>
          <xdr:col>2</xdr:col>
          <xdr:colOff>1304925</xdr:colOff>
          <xdr:row>52</xdr:row>
          <xdr:rowOff>123825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0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51</xdr:row>
          <xdr:rowOff>171450</xdr:rowOff>
        </xdr:from>
        <xdr:to>
          <xdr:col>2</xdr:col>
          <xdr:colOff>1295400</xdr:colOff>
          <xdr:row>53</xdr:row>
          <xdr:rowOff>133350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0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52</xdr:row>
          <xdr:rowOff>142875</xdr:rowOff>
        </xdr:from>
        <xdr:to>
          <xdr:col>2</xdr:col>
          <xdr:colOff>1295400</xdr:colOff>
          <xdr:row>54</xdr:row>
          <xdr:rowOff>104775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0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695325</xdr:colOff>
          <xdr:row>56</xdr:row>
          <xdr:rowOff>161925</xdr:rowOff>
        </xdr:from>
        <xdr:to>
          <xdr:col>2</xdr:col>
          <xdr:colOff>1304925</xdr:colOff>
          <xdr:row>58</xdr:row>
          <xdr:rowOff>123825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0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57</xdr:row>
          <xdr:rowOff>171450</xdr:rowOff>
        </xdr:from>
        <xdr:to>
          <xdr:col>2</xdr:col>
          <xdr:colOff>1295400</xdr:colOff>
          <xdr:row>59</xdr:row>
          <xdr:rowOff>133350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0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58</xdr:row>
          <xdr:rowOff>142875</xdr:rowOff>
        </xdr:from>
        <xdr:to>
          <xdr:col>2</xdr:col>
          <xdr:colOff>1295400</xdr:colOff>
          <xdr:row>60</xdr:row>
          <xdr:rowOff>104775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0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695325</xdr:colOff>
          <xdr:row>62</xdr:row>
          <xdr:rowOff>161925</xdr:rowOff>
        </xdr:from>
        <xdr:to>
          <xdr:col>2</xdr:col>
          <xdr:colOff>1304925</xdr:colOff>
          <xdr:row>64</xdr:row>
          <xdr:rowOff>123825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0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63</xdr:row>
          <xdr:rowOff>171450</xdr:rowOff>
        </xdr:from>
        <xdr:to>
          <xdr:col>2</xdr:col>
          <xdr:colOff>1295400</xdr:colOff>
          <xdr:row>65</xdr:row>
          <xdr:rowOff>133350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0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64</xdr:row>
          <xdr:rowOff>142875</xdr:rowOff>
        </xdr:from>
        <xdr:to>
          <xdr:col>2</xdr:col>
          <xdr:colOff>1295400</xdr:colOff>
          <xdr:row>66</xdr:row>
          <xdr:rowOff>104775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0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695325</xdr:colOff>
          <xdr:row>68</xdr:row>
          <xdr:rowOff>161925</xdr:rowOff>
        </xdr:from>
        <xdr:to>
          <xdr:col>2</xdr:col>
          <xdr:colOff>1304925</xdr:colOff>
          <xdr:row>70</xdr:row>
          <xdr:rowOff>123825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0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69</xdr:row>
          <xdr:rowOff>171450</xdr:rowOff>
        </xdr:from>
        <xdr:to>
          <xdr:col>2</xdr:col>
          <xdr:colOff>1295400</xdr:colOff>
          <xdr:row>71</xdr:row>
          <xdr:rowOff>133350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0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70</xdr:row>
          <xdr:rowOff>142875</xdr:rowOff>
        </xdr:from>
        <xdr:to>
          <xdr:col>2</xdr:col>
          <xdr:colOff>1295400</xdr:colOff>
          <xdr:row>72</xdr:row>
          <xdr:rowOff>104775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0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695325</xdr:colOff>
          <xdr:row>74</xdr:row>
          <xdr:rowOff>161925</xdr:rowOff>
        </xdr:from>
        <xdr:to>
          <xdr:col>2</xdr:col>
          <xdr:colOff>1304925</xdr:colOff>
          <xdr:row>76</xdr:row>
          <xdr:rowOff>123825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0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75</xdr:row>
          <xdr:rowOff>171450</xdr:rowOff>
        </xdr:from>
        <xdr:to>
          <xdr:col>2</xdr:col>
          <xdr:colOff>1295400</xdr:colOff>
          <xdr:row>77</xdr:row>
          <xdr:rowOff>133350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0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76</xdr:row>
          <xdr:rowOff>142875</xdr:rowOff>
        </xdr:from>
        <xdr:to>
          <xdr:col>2</xdr:col>
          <xdr:colOff>1295400</xdr:colOff>
          <xdr:row>78</xdr:row>
          <xdr:rowOff>104775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0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695325</xdr:colOff>
          <xdr:row>79</xdr:row>
          <xdr:rowOff>161925</xdr:rowOff>
        </xdr:from>
        <xdr:to>
          <xdr:col>2</xdr:col>
          <xdr:colOff>1304925</xdr:colOff>
          <xdr:row>81</xdr:row>
          <xdr:rowOff>123825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0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80</xdr:row>
          <xdr:rowOff>171450</xdr:rowOff>
        </xdr:from>
        <xdr:to>
          <xdr:col>2</xdr:col>
          <xdr:colOff>1295400</xdr:colOff>
          <xdr:row>82</xdr:row>
          <xdr:rowOff>133350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0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81</xdr:row>
          <xdr:rowOff>142875</xdr:rowOff>
        </xdr:from>
        <xdr:to>
          <xdr:col>2</xdr:col>
          <xdr:colOff>1295400</xdr:colOff>
          <xdr:row>83</xdr:row>
          <xdr:rowOff>104775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0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695325</xdr:colOff>
          <xdr:row>89</xdr:row>
          <xdr:rowOff>161925</xdr:rowOff>
        </xdr:from>
        <xdr:to>
          <xdr:col>2</xdr:col>
          <xdr:colOff>1304925</xdr:colOff>
          <xdr:row>91</xdr:row>
          <xdr:rowOff>123825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0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90</xdr:row>
          <xdr:rowOff>171450</xdr:rowOff>
        </xdr:from>
        <xdr:to>
          <xdr:col>2</xdr:col>
          <xdr:colOff>1295400</xdr:colOff>
          <xdr:row>92</xdr:row>
          <xdr:rowOff>133350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0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91</xdr:row>
          <xdr:rowOff>142875</xdr:rowOff>
        </xdr:from>
        <xdr:to>
          <xdr:col>2</xdr:col>
          <xdr:colOff>1295400</xdr:colOff>
          <xdr:row>93</xdr:row>
          <xdr:rowOff>104775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0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695325</xdr:colOff>
          <xdr:row>95</xdr:row>
          <xdr:rowOff>161925</xdr:rowOff>
        </xdr:from>
        <xdr:to>
          <xdr:col>2</xdr:col>
          <xdr:colOff>1304925</xdr:colOff>
          <xdr:row>97</xdr:row>
          <xdr:rowOff>123825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0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96</xdr:row>
          <xdr:rowOff>171450</xdr:rowOff>
        </xdr:from>
        <xdr:to>
          <xdr:col>2</xdr:col>
          <xdr:colOff>1295400</xdr:colOff>
          <xdr:row>98</xdr:row>
          <xdr:rowOff>133350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0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97</xdr:row>
          <xdr:rowOff>142875</xdr:rowOff>
        </xdr:from>
        <xdr:to>
          <xdr:col>2</xdr:col>
          <xdr:colOff>1295400</xdr:colOff>
          <xdr:row>99</xdr:row>
          <xdr:rowOff>104775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0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695325</xdr:colOff>
          <xdr:row>101</xdr:row>
          <xdr:rowOff>161925</xdr:rowOff>
        </xdr:from>
        <xdr:to>
          <xdr:col>2</xdr:col>
          <xdr:colOff>1304925</xdr:colOff>
          <xdr:row>103</xdr:row>
          <xdr:rowOff>123825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0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102</xdr:row>
          <xdr:rowOff>171450</xdr:rowOff>
        </xdr:from>
        <xdr:to>
          <xdr:col>2</xdr:col>
          <xdr:colOff>1295400</xdr:colOff>
          <xdr:row>104</xdr:row>
          <xdr:rowOff>133350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0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103</xdr:row>
          <xdr:rowOff>142875</xdr:rowOff>
        </xdr:from>
        <xdr:to>
          <xdr:col>2</xdr:col>
          <xdr:colOff>1295400</xdr:colOff>
          <xdr:row>105</xdr:row>
          <xdr:rowOff>104775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0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695325</xdr:colOff>
      <xdr:row>0</xdr:row>
      <xdr:rowOff>171451</xdr:rowOff>
    </xdr:from>
    <xdr:to>
      <xdr:col>3</xdr:col>
      <xdr:colOff>310676</xdr:colOff>
      <xdr:row>0</xdr:row>
      <xdr:rowOff>628651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B712389-EDD4-4BAC-3F5E-216962D03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48075" y="171451"/>
          <a:ext cx="1653701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0</xdr:row>
      <xdr:rowOff>0</xdr:rowOff>
    </xdr:from>
    <xdr:to>
      <xdr:col>1</xdr:col>
      <xdr:colOff>1064117</xdr:colOff>
      <xdr:row>0</xdr:row>
      <xdr:rowOff>638175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78ED580-533E-1C6D-393E-EAFF8AAB7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1" y="0"/>
          <a:ext cx="1064116" cy="63817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1695449</xdr:colOff>
      <xdr:row>19</xdr:row>
      <xdr:rowOff>104776</xdr:rowOff>
    </xdr:from>
    <xdr:ext cx="4257675" cy="238567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0</xdr:col>
      <xdr:colOff>1800225</xdr:colOff>
      <xdr:row>43</xdr:row>
      <xdr:rowOff>28574</xdr:rowOff>
    </xdr:from>
    <xdr:to>
      <xdr:col>1</xdr:col>
      <xdr:colOff>3209925</xdr:colOff>
      <xdr:row>55</xdr:row>
      <xdr:rowOff>100011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B95F7BF-45B8-F7DA-0EDA-BF07159873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723900</xdr:colOff>
      <xdr:row>12</xdr:row>
      <xdr:rowOff>38101</xdr:rowOff>
    </xdr:from>
    <xdr:ext cx="3790950" cy="2000250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D2FD8051-E983-4975-BF6A-971B419FF9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 editAs="oneCell">
    <xdr:from>
      <xdr:col>5</xdr:col>
      <xdr:colOff>323850</xdr:colOff>
      <xdr:row>0</xdr:row>
      <xdr:rowOff>57150</xdr:rowOff>
    </xdr:from>
    <xdr:to>
      <xdr:col>7</xdr:col>
      <xdr:colOff>458106</xdr:colOff>
      <xdr:row>2</xdr:row>
      <xdr:rowOff>9565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8279C9D-7DB8-E9C7-0EEF-F423770B2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05250" y="257175"/>
          <a:ext cx="1658256" cy="457240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0</xdr:row>
      <xdr:rowOff>47680</xdr:rowOff>
    </xdr:from>
    <xdr:to>
      <xdr:col>2</xdr:col>
      <xdr:colOff>390525</xdr:colOff>
      <xdr:row>2</xdr:row>
      <xdr:rowOff>154360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026F457-4FE2-825E-BAAA-EFFF497AF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3375" y="247705"/>
          <a:ext cx="1019175" cy="611505"/>
        </a:xfrm>
        <a:prstGeom prst="rect">
          <a:avLst/>
        </a:prstGeom>
      </xdr:spPr>
    </xdr:pic>
    <xdr:clientData/>
  </xdr:twoCellAnchor>
  <xdr:twoCellAnchor>
    <xdr:from>
      <xdr:col>1</xdr:col>
      <xdr:colOff>695324</xdr:colOff>
      <xdr:row>23</xdr:row>
      <xdr:rowOff>104775</xdr:rowOff>
    </xdr:from>
    <xdr:to>
      <xdr:col>6</xdr:col>
      <xdr:colOff>342900</xdr:colOff>
      <xdr:row>33</xdr:row>
      <xdr:rowOff>19051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CC945E7-1DC1-4732-975D-C5E2AC3685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9ED86-C018-4B19-8379-A2D4033CD504}">
  <dimension ref="A1:D134"/>
  <sheetViews>
    <sheetView showGridLines="0" topLeftCell="A43" workbookViewId="0">
      <selection activeCell="E24" sqref="E24"/>
    </sheetView>
  </sheetViews>
  <sheetFormatPr baseColWidth="10" defaultColWidth="9.140625" defaultRowHeight="15" x14ac:dyDescent="0.25"/>
  <cols>
    <col min="1" max="1" width="3.140625" customWidth="1"/>
    <col min="2" max="2" width="41.140625" customWidth="1"/>
    <col min="3" max="3" width="30.5703125" customWidth="1"/>
    <col min="4" max="4" width="12.28515625" customWidth="1"/>
  </cols>
  <sheetData>
    <row r="1" spans="1:4" ht="58.5" customHeight="1" x14ac:dyDescent="0.25">
      <c r="A1" s="19"/>
      <c r="B1" s="20"/>
      <c r="C1" s="20"/>
      <c r="D1" s="21"/>
    </row>
    <row r="2" spans="1:4" ht="36" customHeight="1" x14ac:dyDescent="0.55000000000000004">
      <c r="A2" s="22"/>
      <c r="B2" s="74" t="s">
        <v>63</v>
      </c>
      <c r="C2" s="74"/>
      <c r="D2" s="23"/>
    </row>
    <row r="3" spans="1:4" x14ac:dyDescent="0.25">
      <c r="A3" s="22"/>
      <c r="D3" s="23"/>
    </row>
    <row r="4" spans="1:4" x14ac:dyDescent="0.25">
      <c r="A4" s="22"/>
      <c r="B4" s="32" t="s">
        <v>89</v>
      </c>
      <c r="C4" s="70"/>
      <c r="D4" s="71"/>
    </row>
    <row r="5" spans="1:4" ht="28.5" customHeight="1" x14ac:dyDescent="0.25">
      <c r="A5" s="22"/>
      <c r="B5" s="32" t="s">
        <v>90</v>
      </c>
      <c r="C5" s="72"/>
      <c r="D5" s="73"/>
    </row>
    <row r="6" spans="1:4" ht="18.75" customHeight="1" x14ac:dyDescent="0.25">
      <c r="A6" s="22"/>
      <c r="D6" s="23"/>
    </row>
    <row r="7" spans="1:4" ht="29.25" customHeight="1" x14ac:dyDescent="0.25">
      <c r="A7" s="22"/>
      <c r="B7" s="75" t="s">
        <v>62</v>
      </c>
      <c r="C7" s="75"/>
      <c r="D7" s="23"/>
    </row>
    <row r="8" spans="1:4" ht="28.5" customHeight="1" x14ac:dyDescent="0.25">
      <c r="A8" s="22"/>
      <c r="D8" s="23"/>
    </row>
    <row r="9" spans="1:4" ht="18.75" x14ac:dyDescent="0.3">
      <c r="A9" s="22"/>
      <c r="B9" s="76" t="s">
        <v>91</v>
      </c>
      <c r="C9" s="76"/>
      <c r="D9" s="23"/>
    </row>
    <row r="10" spans="1:4" x14ac:dyDescent="0.25">
      <c r="A10" s="34" t="s">
        <v>45</v>
      </c>
      <c r="B10" s="35" t="s">
        <v>1</v>
      </c>
      <c r="C10" s="36" t="s">
        <v>44</v>
      </c>
      <c r="D10" s="37"/>
    </row>
    <row r="11" spans="1:4" x14ac:dyDescent="0.25">
      <c r="A11" s="34"/>
      <c r="B11" s="35"/>
      <c r="C11" s="36"/>
      <c r="D11" s="37"/>
    </row>
    <row r="12" spans="1:4" ht="15" customHeight="1" x14ac:dyDescent="0.25">
      <c r="A12" s="25">
        <v>1</v>
      </c>
      <c r="B12" s="69" t="s">
        <v>61</v>
      </c>
      <c r="C12" s="69"/>
      <c r="D12" s="23"/>
    </row>
    <row r="13" spans="1:4" x14ac:dyDescent="0.25">
      <c r="A13" s="22"/>
      <c r="D13" s="23"/>
    </row>
    <row r="14" spans="1:4" ht="17.25" customHeight="1" x14ac:dyDescent="0.25">
      <c r="A14" s="22"/>
      <c r="B14" s="33" t="s">
        <v>60</v>
      </c>
      <c r="C14" s="2"/>
      <c r="D14" s="23"/>
    </row>
    <row r="15" spans="1:4" x14ac:dyDescent="0.25">
      <c r="A15" s="22"/>
      <c r="B15" t="s">
        <v>59</v>
      </c>
      <c r="C15" s="2"/>
      <c r="D15" s="23"/>
    </row>
    <row r="16" spans="1:4" x14ac:dyDescent="0.25">
      <c r="A16" s="22"/>
      <c r="B16" t="s">
        <v>58</v>
      </c>
      <c r="C16" s="2"/>
      <c r="D16" s="23"/>
    </row>
    <row r="17" spans="1:4" x14ac:dyDescent="0.25">
      <c r="A17" s="22"/>
      <c r="D17" s="23"/>
    </row>
    <row r="18" spans="1:4" ht="30" customHeight="1" x14ac:dyDescent="0.25">
      <c r="A18" s="25">
        <v>2</v>
      </c>
      <c r="B18" s="38" t="s">
        <v>57</v>
      </c>
      <c r="D18" s="23"/>
    </row>
    <row r="19" spans="1:4" x14ac:dyDescent="0.25">
      <c r="A19" s="22"/>
      <c r="D19" s="23"/>
    </row>
    <row r="20" spans="1:4" x14ac:dyDescent="0.25">
      <c r="A20" s="22"/>
      <c r="B20" t="s">
        <v>56</v>
      </c>
      <c r="C20" s="2"/>
      <c r="D20" s="23"/>
    </row>
    <row r="21" spans="1:4" x14ac:dyDescent="0.25">
      <c r="A21" s="22"/>
      <c r="B21" t="s">
        <v>55</v>
      </c>
      <c r="C21" s="2"/>
      <c r="D21" s="23"/>
    </row>
    <row r="22" spans="1:4" x14ac:dyDescent="0.25">
      <c r="A22" s="22"/>
      <c r="B22" t="s">
        <v>54</v>
      </c>
      <c r="C22" s="2"/>
      <c r="D22" s="23"/>
    </row>
    <row r="23" spans="1:4" x14ac:dyDescent="0.25">
      <c r="A23" s="22"/>
      <c r="D23" s="23"/>
    </row>
    <row r="24" spans="1:4" ht="27.75" customHeight="1" x14ac:dyDescent="0.25">
      <c r="A24" s="25">
        <v>3</v>
      </c>
      <c r="B24" s="69" t="s">
        <v>53</v>
      </c>
      <c r="C24" s="69"/>
      <c r="D24" s="23"/>
    </row>
    <row r="25" spans="1:4" x14ac:dyDescent="0.25">
      <c r="A25" s="22"/>
      <c r="D25" s="23"/>
    </row>
    <row r="26" spans="1:4" x14ac:dyDescent="0.25">
      <c r="A26" s="22"/>
      <c r="B26" t="s">
        <v>52</v>
      </c>
      <c r="C26" s="2"/>
      <c r="D26" s="23"/>
    </row>
    <row r="27" spans="1:4" x14ac:dyDescent="0.25">
      <c r="A27" s="22"/>
      <c r="B27" t="s">
        <v>51</v>
      </c>
      <c r="C27" s="2"/>
      <c r="D27" s="23"/>
    </row>
    <row r="28" spans="1:4" x14ac:dyDescent="0.25">
      <c r="A28" s="22"/>
      <c r="B28" t="s">
        <v>50</v>
      </c>
      <c r="C28" s="2"/>
      <c r="D28" s="23"/>
    </row>
    <row r="29" spans="1:4" x14ac:dyDescent="0.25">
      <c r="A29" s="22"/>
      <c r="D29" s="23"/>
    </row>
    <row r="30" spans="1:4" ht="28.5" customHeight="1" x14ac:dyDescent="0.25">
      <c r="A30" s="22">
        <v>4</v>
      </c>
      <c r="B30" s="69" t="s">
        <v>49</v>
      </c>
      <c r="C30" s="69"/>
      <c r="D30" s="23"/>
    </row>
    <row r="31" spans="1:4" x14ac:dyDescent="0.25">
      <c r="A31" s="22"/>
      <c r="D31" s="23"/>
    </row>
    <row r="32" spans="1:4" x14ac:dyDescent="0.25">
      <c r="A32" s="22"/>
      <c r="B32" t="s">
        <v>48</v>
      </c>
      <c r="C32" s="2"/>
      <c r="D32" s="23"/>
    </row>
    <row r="33" spans="1:4" x14ac:dyDescent="0.25">
      <c r="A33" s="22"/>
      <c r="B33" t="s">
        <v>47</v>
      </c>
      <c r="C33" s="2"/>
      <c r="D33" s="23"/>
    </row>
    <row r="34" spans="1:4" x14ac:dyDescent="0.25">
      <c r="A34" s="22"/>
      <c r="B34" t="s">
        <v>46</v>
      </c>
      <c r="C34" s="2"/>
      <c r="D34" s="23"/>
    </row>
    <row r="35" spans="1:4" x14ac:dyDescent="0.25">
      <c r="A35" s="22"/>
      <c r="D35" s="23"/>
    </row>
    <row r="36" spans="1:4" x14ac:dyDescent="0.25">
      <c r="A36" s="22">
        <v>5</v>
      </c>
      <c r="B36" s="69" t="s">
        <v>43</v>
      </c>
      <c r="C36" s="69"/>
      <c r="D36" s="23"/>
    </row>
    <row r="37" spans="1:4" ht="24" customHeight="1" x14ac:dyDescent="0.25">
      <c r="A37" s="22"/>
      <c r="B37" t="s">
        <v>42</v>
      </c>
      <c r="C37" s="2"/>
      <c r="D37" s="23"/>
    </row>
    <row r="38" spans="1:4" ht="16.5" customHeight="1" x14ac:dyDescent="0.25">
      <c r="A38" s="22"/>
      <c r="B38" t="s">
        <v>41</v>
      </c>
      <c r="C38" s="2"/>
      <c r="D38" s="23"/>
    </row>
    <row r="39" spans="1:4" ht="15.75" customHeight="1" thickBot="1" x14ac:dyDescent="0.3">
      <c r="A39" s="28"/>
      <c r="B39" s="29" t="s">
        <v>40</v>
      </c>
      <c r="C39" s="41"/>
      <c r="D39" s="30"/>
    </row>
    <row r="40" spans="1:4" ht="15.75" customHeight="1" thickBot="1" x14ac:dyDescent="0.3">
      <c r="A40" s="29"/>
      <c r="C40" s="2"/>
      <c r="D40" s="29"/>
    </row>
    <row r="41" spans="1:4" ht="15.75" customHeight="1" x14ac:dyDescent="0.25">
      <c r="A41" s="19"/>
      <c r="B41" s="20"/>
      <c r="C41" s="40"/>
      <c r="D41" s="21"/>
    </row>
    <row r="42" spans="1:4" x14ac:dyDescent="0.25">
      <c r="A42" s="22"/>
      <c r="D42" s="23"/>
    </row>
    <row r="43" spans="1:4" ht="29.25" customHeight="1" x14ac:dyDescent="0.25">
      <c r="A43" s="39">
        <v>6</v>
      </c>
      <c r="B43" s="69" t="s">
        <v>39</v>
      </c>
      <c r="C43" s="69"/>
      <c r="D43" s="23"/>
    </row>
    <row r="44" spans="1:4" ht="11.25" customHeight="1" x14ac:dyDescent="0.25">
      <c r="A44" s="22"/>
      <c r="D44" s="23"/>
    </row>
    <row r="45" spans="1:4" x14ac:dyDescent="0.25">
      <c r="A45" s="22"/>
      <c r="B45" t="s">
        <v>38</v>
      </c>
      <c r="C45" s="2"/>
      <c r="D45" s="23"/>
    </row>
    <row r="46" spans="1:4" x14ac:dyDescent="0.25">
      <c r="A46" s="22"/>
      <c r="B46" t="s">
        <v>37</v>
      </c>
      <c r="C46" s="2"/>
      <c r="D46" s="23"/>
    </row>
    <row r="47" spans="1:4" x14ac:dyDescent="0.25">
      <c r="A47" s="22"/>
      <c r="B47" t="s">
        <v>36</v>
      </c>
      <c r="C47" s="2"/>
      <c r="D47" s="23"/>
    </row>
    <row r="48" spans="1:4" x14ac:dyDescent="0.25">
      <c r="A48" s="22"/>
      <c r="D48" s="23"/>
    </row>
    <row r="49" spans="1:4" x14ac:dyDescent="0.25">
      <c r="A49" s="22"/>
      <c r="D49" s="23"/>
    </row>
    <row r="50" spans="1:4" x14ac:dyDescent="0.25">
      <c r="A50" s="22">
        <v>7</v>
      </c>
      <c r="B50" s="69" t="s">
        <v>35</v>
      </c>
      <c r="C50" s="69"/>
      <c r="D50" s="23"/>
    </row>
    <row r="51" spans="1:4" x14ac:dyDescent="0.25">
      <c r="A51" s="22"/>
      <c r="D51" s="23"/>
    </row>
    <row r="52" spans="1:4" x14ac:dyDescent="0.25">
      <c r="A52" s="22"/>
      <c r="B52" t="s">
        <v>34</v>
      </c>
      <c r="C52" s="2"/>
      <c r="D52" s="23"/>
    </row>
    <row r="53" spans="1:4" x14ac:dyDescent="0.25">
      <c r="A53" s="22"/>
      <c r="B53" t="s">
        <v>33</v>
      </c>
      <c r="C53" s="2"/>
      <c r="D53" s="23"/>
    </row>
    <row r="54" spans="1:4" x14ac:dyDescent="0.25">
      <c r="A54" s="22"/>
      <c r="B54" t="s">
        <v>32</v>
      </c>
      <c r="C54" s="2"/>
      <c r="D54" s="23"/>
    </row>
    <row r="55" spans="1:4" x14ac:dyDescent="0.25">
      <c r="A55" s="22"/>
      <c r="D55" s="23"/>
    </row>
    <row r="56" spans="1:4" x14ac:dyDescent="0.25">
      <c r="A56" s="22">
        <v>8</v>
      </c>
      <c r="B56" s="69" t="s">
        <v>31</v>
      </c>
      <c r="C56" s="69"/>
      <c r="D56" s="23"/>
    </row>
    <row r="57" spans="1:4" x14ac:dyDescent="0.25">
      <c r="A57" s="22"/>
      <c r="D57" s="23"/>
    </row>
    <row r="58" spans="1:4" x14ac:dyDescent="0.25">
      <c r="A58" s="22"/>
      <c r="B58" t="s">
        <v>30</v>
      </c>
      <c r="C58" s="2"/>
      <c r="D58" s="23"/>
    </row>
    <row r="59" spans="1:4" x14ac:dyDescent="0.25">
      <c r="A59" s="22"/>
      <c r="B59" t="s">
        <v>29</v>
      </c>
      <c r="C59" s="2"/>
      <c r="D59" s="23"/>
    </row>
    <row r="60" spans="1:4" x14ac:dyDescent="0.25">
      <c r="A60" s="22"/>
      <c r="B60" t="s">
        <v>28</v>
      </c>
      <c r="C60" s="2"/>
      <c r="D60" s="23"/>
    </row>
    <row r="61" spans="1:4" x14ac:dyDescent="0.25">
      <c r="A61" s="22"/>
      <c r="D61" s="23"/>
    </row>
    <row r="62" spans="1:4" ht="15" customHeight="1" x14ac:dyDescent="0.25">
      <c r="A62" s="22">
        <v>9</v>
      </c>
      <c r="B62" s="69" t="s">
        <v>9</v>
      </c>
      <c r="C62" s="69"/>
      <c r="D62" s="23"/>
    </row>
    <row r="63" spans="1:4" x14ac:dyDescent="0.25">
      <c r="A63" s="22"/>
      <c r="D63" s="23"/>
    </row>
    <row r="64" spans="1:4" x14ac:dyDescent="0.25">
      <c r="A64" s="22"/>
      <c r="B64" t="s">
        <v>27</v>
      </c>
      <c r="C64" s="2"/>
      <c r="D64" s="23"/>
    </row>
    <row r="65" spans="1:4" x14ac:dyDescent="0.25">
      <c r="A65" s="22"/>
      <c r="B65" t="s">
        <v>26</v>
      </c>
      <c r="C65" s="2"/>
      <c r="D65" s="23"/>
    </row>
    <row r="66" spans="1:4" x14ac:dyDescent="0.25">
      <c r="A66" s="22"/>
      <c r="B66" t="s">
        <v>25</v>
      </c>
      <c r="C66" s="2"/>
      <c r="D66" s="23"/>
    </row>
    <row r="67" spans="1:4" x14ac:dyDescent="0.25">
      <c r="A67" s="22"/>
      <c r="D67" s="23"/>
    </row>
    <row r="68" spans="1:4" ht="15" customHeight="1" x14ac:dyDescent="0.25">
      <c r="A68" s="22">
        <v>10</v>
      </c>
      <c r="B68" s="69" t="s">
        <v>24</v>
      </c>
      <c r="C68" s="69"/>
      <c r="D68" s="23"/>
    </row>
    <row r="69" spans="1:4" x14ac:dyDescent="0.25">
      <c r="A69" s="22"/>
      <c r="D69" s="23"/>
    </row>
    <row r="70" spans="1:4" x14ac:dyDescent="0.25">
      <c r="A70" s="22"/>
      <c r="B70" t="s">
        <v>81</v>
      </c>
      <c r="C70" s="2"/>
      <c r="D70" s="23"/>
    </row>
    <row r="71" spans="1:4" x14ac:dyDescent="0.25">
      <c r="A71" s="22"/>
      <c r="B71" t="s">
        <v>23</v>
      </c>
      <c r="C71" s="2"/>
      <c r="D71" s="23"/>
    </row>
    <row r="72" spans="1:4" x14ac:dyDescent="0.25">
      <c r="A72" s="22"/>
      <c r="B72" t="s">
        <v>22</v>
      </c>
      <c r="C72" s="2"/>
      <c r="D72" s="23"/>
    </row>
    <row r="73" spans="1:4" x14ac:dyDescent="0.25">
      <c r="A73" s="22"/>
      <c r="D73" s="23"/>
    </row>
    <row r="74" spans="1:4" ht="29.25" customHeight="1" x14ac:dyDescent="0.25">
      <c r="A74" s="22">
        <v>11</v>
      </c>
      <c r="B74" s="69" t="s">
        <v>21</v>
      </c>
      <c r="C74" s="69"/>
      <c r="D74" s="23"/>
    </row>
    <row r="75" spans="1:4" x14ac:dyDescent="0.25">
      <c r="A75" s="22"/>
      <c r="D75" s="23"/>
    </row>
    <row r="76" spans="1:4" x14ac:dyDescent="0.25">
      <c r="A76" s="22"/>
      <c r="B76" t="s">
        <v>20</v>
      </c>
      <c r="C76" s="2"/>
      <c r="D76" s="23"/>
    </row>
    <row r="77" spans="1:4" x14ac:dyDescent="0.25">
      <c r="A77" s="22"/>
      <c r="B77" t="s">
        <v>19</v>
      </c>
      <c r="C77" s="2"/>
      <c r="D77" s="23"/>
    </row>
    <row r="78" spans="1:4" x14ac:dyDescent="0.25">
      <c r="A78" s="22"/>
      <c r="B78" t="s">
        <v>18</v>
      </c>
      <c r="C78" s="2"/>
      <c r="D78" s="23"/>
    </row>
    <row r="79" spans="1:4" x14ac:dyDescent="0.25">
      <c r="A79" s="22"/>
      <c r="D79" s="23"/>
    </row>
    <row r="80" spans="1:4" x14ac:dyDescent="0.25">
      <c r="A80" s="22">
        <v>12</v>
      </c>
      <c r="B80" s="69" t="s">
        <v>17</v>
      </c>
      <c r="C80" s="69"/>
      <c r="D80" s="23"/>
    </row>
    <row r="81" spans="1:4" x14ac:dyDescent="0.25">
      <c r="A81" s="22"/>
      <c r="C81" s="2"/>
      <c r="D81" s="23"/>
    </row>
    <row r="82" spans="1:4" x14ac:dyDescent="0.25">
      <c r="A82" s="22"/>
      <c r="B82" t="s">
        <v>16</v>
      </c>
      <c r="C82" s="2"/>
      <c r="D82" s="23"/>
    </row>
    <row r="83" spans="1:4" x14ac:dyDescent="0.25">
      <c r="A83" s="22"/>
      <c r="B83" t="s">
        <v>15</v>
      </c>
      <c r="C83" s="2"/>
      <c r="D83" s="23"/>
    </row>
    <row r="84" spans="1:4" x14ac:dyDescent="0.25">
      <c r="A84" s="22"/>
      <c r="B84" t="s">
        <v>14</v>
      </c>
      <c r="D84" s="23"/>
    </row>
    <row r="85" spans="1:4" x14ac:dyDescent="0.25">
      <c r="A85" s="22"/>
      <c r="D85" s="23"/>
    </row>
    <row r="86" spans="1:4" ht="15.75" thickBot="1" x14ac:dyDescent="0.3">
      <c r="A86" s="28"/>
      <c r="B86" s="29"/>
      <c r="C86" s="29"/>
      <c r="D86" s="30"/>
    </row>
    <row r="87" spans="1:4" x14ac:dyDescent="0.25">
      <c r="A87" s="20"/>
      <c r="B87" s="20"/>
      <c r="C87" s="20"/>
      <c r="D87" s="20"/>
    </row>
    <row r="88" spans="1:4" ht="15.75" thickBot="1" x14ac:dyDescent="0.3"/>
    <row r="89" spans="1:4" ht="32.25" customHeight="1" x14ac:dyDescent="0.25">
      <c r="A89" s="19">
        <v>13</v>
      </c>
      <c r="B89" s="68" t="s">
        <v>64</v>
      </c>
      <c r="C89" s="68"/>
      <c r="D89" s="21"/>
    </row>
    <row r="90" spans="1:4" x14ac:dyDescent="0.25">
      <c r="A90" s="22"/>
      <c r="D90" s="23"/>
    </row>
    <row r="91" spans="1:4" x14ac:dyDescent="0.25">
      <c r="A91" s="22"/>
      <c r="B91" t="s">
        <v>65</v>
      </c>
      <c r="C91" s="2"/>
      <c r="D91" s="23"/>
    </row>
    <row r="92" spans="1:4" x14ac:dyDescent="0.25">
      <c r="A92" s="22"/>
      <c r="B92" t="s">
        <v>66</v>
      </c>
      <c r="C92" s="2"/>
      <c r="D92" s="23"/>
    </row>
    <row r="93" spans="1:4" x14ac:dyDescent="0.25">
      <c r="A93" s="22"/>
      <c r="B93" t="s">
        <v>67</v>
      </c>
      <c r="C93" s="2"/>
      <c r="D93" s="23"/>
    </row>
    <row r="94" spans="1:4" x14ac:dyDescent="0.25">
      <c r="A94" s="22"/>
      <c r="D94" s="23"/>
    </row>
    <row r="95" spans="1:4" x14ac:dyDescent="0.25">
      <c r="A95" s="22">
        <v>14</v>
      </c>
      <c r="B95" s="69" t="s">
        <v>68</v>
      </c>
      <c r="C95" s="69"/>
      <c r="D95" s="23"/>
    </row>
    <row r="96" spans="1:4" x14ac:dyDescent="0.25">
      <c r="A96" s="22"/>
      <c r="D96" s="23"/>
    </row>
    <row r="97" spans="1:4" x14ac:dyDescent="0.25">
      <c r="A97" s="22"/>
      <c r="B97" t="s">
        <v>69</v>
      </c>
      <c r="C97" s="2"/>
      <c r="D97" s="23"/>
    </row>
    <row r="98" spans="1:4" x14ac:dyDescent="0.25">
      <c r="A98" s="22"/>
      <c r="B98" t="s">
        <v>70</v>
      </c>
      <c r="C98" s="2"/>
      <c r="D98" s="23"/>
    </row>
    <row r="99" spans="1:4" x14ac:dyDescent="0.25">
      <c r="A99" s="22"/>
      <c r="B99" t="s">
        <v>36</v>
      </c>
      <c r="C99" s="2"/>
      <c r="D99" s="23"/>
    </row>
    <row r="100" spans="1:4" x14ac:dyDescent="0.25">
      <c r="A100" s="22"/>
      <c r="D100" s="23"/>
    </row>
    <row r="101" spans="1:4" x14ac:dyDescent="0.25">
      <c r="A101" s="22">
        <v>15</v>
      </c>
      <c r="B101" s="69" t="s">
        <v>71</v>
      </c>
      <c r="C101" s="69"/>
      <c r="D101" s="23"/>
    </row>
    <row r="102" spans="1:4" x14ac:dyDescent="0.25">
      <c r="A102" s="22"/>
      <c r="D102" s="23"/>
    </row>
    <row r="103" spans="1:4" x14ac:dyDescent="0.25">
      <c r="A103" s="22"/>
      <c r="B103" t="s">
        <v>72</v>
      </c>
      <c r="C103" s="2"/>
      <c r="D103" s="23"/>
    </row>
    <row r="104" spans="1:4" x14ac:dyDescent="0.25">
      <c r="A104" s="22"/>
      <c r="B104" t="s">
        <v>73</v>
      </c>
      <c r="C104" s="2"/>
      <c r="D104" s="23"/>
    </row>
    <row r="105" spans="1:4" x14ac:dyDescent="0.25">
      <c r="A105" s="22"/>
      <c r="B105" t="s">
        <v>74</v>
      </c>
      <c r="C105" s="2"/>
      <c r="D105" s="23"/>
    </row>
    <row r="106" spans="1:4" x14ac:dyDescent="0.25">
      <c r="A106" s="22"/>
      <c r="D106" s="23"/>
    </row>
    <row r="107" spans="1:4" x14ac:dyDescent="0.25">
      <c r="A107" s="22"/>
      <c r="D107" s="23"/>
    </row>
    <row r="108" spans="1:4" x14ac:dyDescent="0.25">
      <c r="A108" s="22"/>
      <c r="D108" s="23"/>
    </row>
    <row r="109" spans="1:4" x14ac:dyDescent="0.25">
      <c r="A109" s="22"/>
      <c r="D109" s="23"/>
    </row>
    <row r="110" spans="1:4" x14ac:dyDescent="0.25">
      <c r="A110" s="22"/>
      <c r="D110" s="23"/>
    </row>
    <row r="111" spans="1:4" x14ac:dyDescent="0.25">
      <c r="A111" s="22"/>
      <c r="D111" s="23"/>
    </row>
    <row r="112" spans="1:4" x14ac:dyDescent="0.25">
      <c r="A112" s="22"/>
      <c r="D112" s="23"/>
    </row>
    <row r="113" spans="1:4" x14ac:dyDescent="0.25">
      <c r="A113" s="22"/>
      <c r="D113" s="23"/>
    </row>
    <row r="114" spans="1:4" x14ac:dyDescent="0.25">
      <c r="A114" s="22"/>
      <c r="D114" s="23"/>
    </row>
    <row r="115" spans="1:4" x14ac:dyDescent="0.25">
      <c r="A115" s="22"/>
      <c r="D115" s="23"/>
    </row>
    <row r="116" spans="1:4" x14ac:dyDescent="0.25">
      <c r="A116" s="22"/>
      <c r="D116" s="23"/>
    </row>
    <row r="117" spans="1:4" x14ac:dyDescent="0.25">
      <c r="A117" s="22"/>
      <c r="D117" s="23"/>
    </row>
    <row r="118" spans="1:4" x14ac:dyDescent="0.25">
      <c r="A118" s="22"/>
      <c r="D118" s="23"/>
    </row>
    <row r="119" spans="1:4" x14ac:dyDescent="0.25">
      <c r="A119" s="22"/>
      <c r="D119" s="23"/>
    </row>
    <row r="120" spans="1:4" x14ac:dyDescent="0.25">
      <c r="A120" s="22"/>
      <c r="D120" s="23"/>
    </row>
    <row r="121" spans="1:4" x14ac:dyDescent="0.25">
      <c r="A121" s="22"/>
      <c r="D121" s="23"/>
    </row>
    <row r="122" spans="1:4" x14ac:dyDescent="0.25">
      <c r="A122" s="22"/>
      <c r="D122" s="23"/>
    </row>
    <row r="123" spans="1:4" x14ac:dyDescent="0.25">
      <c r="A123" s="22"/>
      <c r="D123" s="23"/>
    </row>
    <row r="124" spans="1:4" x14ac:dyDescent="0.25">
      <c r="A124" s="22"/>
      <c r="D124" s="23"/>
    </row>
    <row r="125" spans="1:4" x14ac:dyDescent="0.25">
      <c r="A125" s="22"/>
      <c r="D125" s="23"/>
    </row>
    <row r="126" spans="1:4" x14ac:dyDescent="0.25">
      <c r="A126" s="22"/>
      <c r="D126" s="23"/>
    </row>
    <row r="127" spans="1:4" x14ac:dyDescent="0.25">
      <c r="A127" s="22"/>
      <c r="D127" s="23"/>
    </row>
    <row r="128" spans="1:4" x14ac:dyDescent="0.25">
      <c r="A128" s="22"/>
      <c r="D128" s="23"/>
    </row>
    <row r="129" spans="1:4" x14ac:dyDescent="0.25">
      <c r="A129" s="22"/>
      <c r="D129" s="23"/>
    </row>
    <row r="130" spans="1:4" x14ac:dyDescent="0.25">
      <c r="A130" s="22"/>
      <c r="D130" s="23"/>
    </row>
    <row r="131" spans="1:4" x14ac:dyDescent="0.25">
      <c r="A131" s="22"/>
      <c r="D131" s="23"/>
    </row>
    <row r="132" spans="1:4" x14ac:dyDescent="0.25">
      <c r="A132" s="22"/>
      <c r="D132" s="23"/>
    </row>
    <row r="133" spans="1:4" x14ac:dyDescent="0.25">
      <c r="A133" s="22"/>
      <c r="D133" s="23"/>
    </row>
    <row r="134" spans="1:4" ht="15.75" thickBot="1" x14ac:dyDescent="0.3">
      <c r="A134" s="28"/>
      <c r="B134" s="29"/>
      <c r="C134" s="29"/>
      <c r="D134" s="30"/>
    </row>
  </sheetData>
  <mergeCells count="19">
    <mergeCell ref="B2:C2"/>
    <mergeCell ref="B7:C7"/>
    <mergeCell ref="B9:C9"/>
    <mergeCell ref="B12:C12"/>
    <mergeCell ref="B24:C24"/>
    <mergeCell ref="B89:C89"/>
    <mergeCell ref="B95:C95"/>
    <mergeCell ref="B101:C101"/>
    <mergeCell ref="C4:D4"/>
    <mergeCell ref="C5:D5"/>
    <mergeCell ref="B30:C30"/>
    <mergeCell ref="B74:C74"/>
    <mergeCell ref="B80:C80"/>
    <mergeCell ref="B36:C36"/>
    <mergeCell ref="B43:C43"/>
    <mergeCell ref="B50:C50"/>
    <mergeCell ref="B56:C56"/>
    <mergeCell ref="B62:C62"/>
    <mergeCell ref="B68:C68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695325</xdr:colOff>
                    <xdr:row>12</xdr:row>
                    <xdr:rowOff>161925</xdr:rowOff>
                  </from>
                  <to>
                    <xdr:col>2</xdr:col>
                    <xdr:colOff>1304925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685800</xdr:colOff>
                    <xdr:row>13</xdr:row>
                    <xdr:rowOff>171450</xdr:rowOff>
                  </from>
                  <to>
                    <xdr:col>2</xdr:col>
                    <xdr:colOff>1295400</xdr:colOff>
                    <xdr:row>15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685800</xdr:colOff>
                    <xdr:row>14</xdr:row>
                    <xdr:rowOff>142875</xdr:rowOff>
                  </from>
                  <to>
                    <xdr:col>2</xdr:col>
                    <xdr:colOff>1295400</xdr:colOff>
                    <xdr:row>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695325</xdr:colOff>
                    <xdr:row>18</xdr:row>
                    <xdr:rowOff>161925</xdr:rowOff>
                  </from>
                  <to>
                    <xdr:col>2</xdr:col>
                    <xdr:colOff>1304925</xdr:colOff>
                    <xdr:row>20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685800</xdr:colOff>
                    <xdr:row>19</xdr:row>
                    <xdr:rowOff>171450</xdr:rowOff>
                  </from>
                  <to>
                    <xdr:col>2</xdr:col>
                    <xdr:colOff>1295400</xdr:colOff>
                    <xdr:row>21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685800</xdr:colOff>
                    <xdr:row>20</xdr:row>
                    <xdr:rowOff>142875</xdr:rowOff>
                  </from>
                  <to>
                    <xdr:col>2</xdr:col>
                    <xdr:colOff>1295400</xdr:colOff>
                    <xdr:row>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695325</xdr:colOff>
                    <xdr:row>24</xdr:row>
                    <xdr:rowOff>161925</xdr:rowOff>
                  </from>
                  <to>
                    <xdr:col>2</xdr:col>
                    <xdr:colOff>1304925</xdr:colOff>
                    <xdr:row>26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685800</xdr:colOff>
                    <xdr:row>25</xdr:row>
                    <xdr:rowOff>171450</xdr:rowOff>
                  </from>
                  <to>
                    <xdr:col>2</xdr:col>
                    <xdr:colOff>1295400</xdr:colOff>
                    <xdr:row>27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685800</xdr:colOff>
                    <xdr:row>26</xdr:row>
                    <xdr:rowOff>142875</xdr:rowOff>
                  </from>
                  <to>
                    <xdr:col>2</xdr:col>
                    <xdr:colOff>1295400</xdr:colOff>
                    <xdr:row>28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695325</xdr:colOff>
                    <xdr:row>30</xdr:row>
                    <xdr:rowOff>161925</xdr:rowOff>
                  </from>
                  <to>
                    <xdr:col>2</xdr:col>
                    <xdr:colOff>1304925</xdr:colOff>
                    <xdr:row>32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685800</xdr:colOff>
                    <xdr:row>31</xdr:row>
                    <xdr:rowOff>171450</xdr:rowOff>
                  </from>
                  <to>
                    <xdr:col>2</xdr:col>
                    <xdr:colOff>1295400</xdr:colOff>
                    <xdr:row>33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685800</xdr:colOff>
                    <xdr:row>32</xdr:row>
                    <xdr:rowOff>142875</xdr:rowOff>
                  </from>
                  <to>
                    <xdr:col>2</xdr:col>
                    <xdr:colOff>1295400</xdr:colOff>
                    <xdr:row>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695325</xdr:colOff>
                    <xdr:row>35</xdr:row>
                    <xdr:rowOff>161925</xdr:rowOff>
                  </from>
                  <to>
                    <xdr:col>2</xdr:col>
                    <xdr:colOff>1304925</xdr:colOff>
                    <xdr:row>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685800</xdr:colOff>
                    <xdr:row>36</xdr:row>
                    <xdr:rowOff>171450</xdr:rowOff>
                  </from>
                  <to>
                    <xdr:col>2</xdr:col>
                    <xdr:colOff>1295400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685800</xdr:colOff>
                    <xdr:row>37</xdr:row>
                    <xdr:rowOff>142875</xdr:rowOff>
                  </from>
                  <to>
                    <xdr:col>2</xdr:col>
                    <xdr:colOff>1295400</xdr:colOff>
                    <xdr:row>39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695325</xdr:colOff>
                    <xdr:row>43</xdr:row>
                    <xdr:rowOff>161925</xdr:rowOff>
                  </from>
                  <to>
                    <xdr:col>2</xdr:col>
                    <xdr:colOff>1304925</xdr:colOff>
                    <xdr:row>45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685800</xdr:colOff>
                    <xdr:row>44</xdr:row>
                    <xdr:rowOff>171450</xdr:rowOff>
                  </from>
                  <to>
                    <xdr:col>2</xdr:col>
                    <xdr:colOff>1295400</xdr:colOff>
                    <xdr:row>46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685800</xdr:colOff>
                    <xdr:row>45</xdr:row>
                    <xdr:rowOff>142875</xdr:rowOff>
                  </from>
                  <to>
                    <xdr:col>2</xdr:col>
                    <xdr:colOff>1295400</xdr:colOff>
                    <xdr:row>47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2" name="Check Box 22">
              <controlPr defaultSize="0" autoFill="0" autoLine="0" autoPict="0">
                <anchor moveWithCells="1">
                  <from>
                    <xdr:col>2</xdr:col>
                    <xdr:colOff>695325</xdr:colOff>
                    <xdr:row>50</xdr:row>
                    <xdr:rowOff>161925</xdr:rowOff>
                  </from>
                  <to>
                    <xdr:col>2</xdr:col>
                    <xdr:colOff>1304925</xdr:colOff>
                    <xdr:row>52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3" name="Check Box 23">
              <controlPr defaultSize="0" autoFill="0" autoLine="0" autoPict="0">
                <anchor moveWithCells="1">
                  <from>
                    <xdr:col>2</xdr:col>
                    <xdr:colOff>685800</xdr:colOff>
                    <xdr:row>51</xdr:row>
                    <xdr:rowOff>171450</xdr:rowOff>
                  </from>
                  <to>
                    <xdr:col>2</xdr:col>
                    <xdr:colOff>1295400</xdr:colOff>
                    <xdr:row>53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4" name="Check Box 24">
              <controlPr defaultSize="0" autoFill="0" autoLine="0" autoPict="0">
                <anchor moveWithCells="1">
                  <from>
                    <xdr:col>2</xdr:col>
                    <xdr:colOff>685800</xdr:colOff>
                    <xdr:row>52</xdr:row>
                    <xdr:rowOff>142875</xdr:rowOff>
                  </from>
                  <to>
                    <xdr:col>2</xdr:col>
                    <xdr:colOff>1295400</xdr:colOff>
                    <xdr:row>54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25" name="Check Box 28">
              <controlPr defaultSize="0" autoFill="0" autoLine="0" autoPict="0">
                <anchor moveWithCells="1">
                  <from>
                    <xdr:col>2</xdr:col>
                    <xdr:colOff>695325</xdr:colOff>
                    <xdr:row>56</xdr:row>
                    <xdr:rowOff>161925</xdr:rowOff>
                  </from>
                  <to>
                    <xdr:col>2</xdr:col>
                    <xdr:colOff>1304925</xdr:colOff>
                    <xdr:row>58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26" name="Check Box 29">
              <controlPr defaultSize="0" autoFill="0" autoLine="0" autoPict="0">
                <anchor moveWithCells="1">
                  <from>
                    <xdr:col>2</xdr:col>
                    <xdr:colOff>685800</xdr:colOff>
                    <xdr:row>57</xdr:row>
                    <xdr:rowOff>171450</xdr:rowOff>
                  </from>
                  <to>
                    <xdr:col>2</xdr:col>
                    <xdr:colOff>1295400</xdr:colOff>
                    <xdr:row>59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27" name="Check Box 30">
              <controlPr defaultSize="0" autoFill="0" autoLine="0" autoPict="0">
                <anchor moveWithCells="1">
                  <from>
                    <xdr:col>2</xdr:col>
                    <xdr:colOff>685800</xdr:colOff>
                    <xdr:row>58</xdr:row>
                    <xdr:rowOff>142875</xdr:rowOff>
                  </from>
                  <to>
                    <xdr:col>2</xdr:col>
                    <xdr:colOff>1295400</xdr:colOff>
                    <xdr:row>60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28" name="Check Box 31">
              <controlPr defaultSize="0" autoFill="0" autoLine="0" autoPict="0">
                <anchor moveWithCells="1">
                  <from>
                    <xdr:col>2</xdr:col>
                    <xdr:colOff>695325</xdr:colOff>
                    <xdr:row>62</xdr:row>
                    <xdr:rowOff>161925</xdr:rowOff>
                  </from>
                  <to>
                    <xdr:col>2</xdr:col>
                    <xdr:colOff>1304925</xdr:colOff>
                    <xdr:row>64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29" name="Check Box 32">
              <controlPr defaultSize="0" autoFill="0" autoLine="0" autoPict="0">
                <anchor moveWithCells="1">
                  <from>
                    <xdr:col>2</xdr:col>
                    <xdr:colOff>685800</xdr:colOff>
                    <xdr:row>63</xdr:row>
                    <xdr:rowOff>171450</xdr:rowOff>
                  </from>
                  <to>
                    <xdr:col>2</xdr:col>
                    <xdr:colOff>1295400</xdr:colOff>
                    <xdr:row>65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0" name="Check Box 33">
              <controlPr defaultSize="0" autoFill="0" autoLine="0" autoPict="0">
                <anchor moveWithCells="1">
                  <from>
                    <xdr:col>2</xdr:col>
                    <xdr:colOff>685800</xdr:colOff>
                    <xdr:row>64</xdr:row>
                    <xdr:rowOff>142875</xdr:rowOff>
                  </from>
                  <to>
                    <xdr:col>2</xdr:col>
                    <xdr:colOff>1295400</xdr:colOff>
                    <xdr:row>66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1" name="Check Box 34">
              <controlPr defaultSize="0" autoFill="0" autoLine="0" autoPict="0">
                <anchor moveWithCells="1">
                  <from>
                    <xdr:col>2</xdr:col>
                    <xdr:colOff>695325</xdr:colOff>
                    <xdr:row>68</xdr:row>
                    <xdr:rowOff>161925</xdr:rowOff>
                  </from>
                  <to>
                    <xdr:col>2</xdr:col>
                    <xdr:colOff>1304925</xdr:colOff>
                    <xdr:row>70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2" name="Check Box 35">
              <controlPr defaultSize="0" autoFill="0" autoLine="0" autoPict="0">
                <anchor moveWithCells="1">
                  <from>
                    <xdr:col>2</xdr:col>
                    <xdr:colOff>685800</xdr:colOff>
                    <xdr:row>69</xdr:row>
                    <xdr:rowOff>171450</xdr:rowOff>
                  </from>
                  <to>
                    <xdr:col>2</xdr:col>
                    <xdr:colOff>1295400</xdr:colOff>
                    <xdr:row>71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3" name="Check Box 36">
              <controlPr defaultSize="0" autoFill="0" autoLine="0" autoPict="0">
                <anchor moveWithCells="1">
                  <from>
                    <xdr:col>2</xdr:col>
                    <xdr:colOff>685800</xdr:colOff>
                    <xdr:row>70</xdr:row>
                    <xdr:rowOff>142875</xdr:rowOff>
                  </from>
                  <to>
                    <xdr:col>2</xdr:col>
                    <xdr:colOff>1295400</xdr:colOff>
                    <xdr:row>72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34" name="Check Box 37">
              <controlPr defaultSize="0" autoFill="0" autoLine="0" autoPict="0">
                <anchor moveWithCells="1">
                  <from>
                    <xdr:col>2</xdr:col>
                    <xdr:colOff>695325</xdr:colOff>
                    <xdr:row>74</xdr:row>
                    <xdr:rowOff>161925</xdr:rowOff>
                  </from>
                  <to>
                    <xdr:col>2</xdr:col>
                    <xdr:colOff>1304925</xdr:colOff>
                    <xdr:row>76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35" name="Check Box 38">
              <controlPr defaultSize="0" autoFill="0" autoLine="0" autoPict="0">
                <anchor moveWithCells="1">
                  <from>
                    <xdr:col>2</xdr:col>
                    <xdr:colOff>685800</xdr:colOff>
                    <xdr:row>75</xdr:row>
                    <xdr:rowOff>171450</xdr:rowOff>
                  </from>
                  <to>
                    <xdr:col>2</xdr:col>
                    <xdr:colOff>1295400</xdr:colOff>
                    <xdr:row>77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36" name="Check Box 39">
              <controlPr defaultSize="0" autoFill="0" autoLine="0" autoPict="0">
                <anchor moveWithCells="1">
                  <from>
                    <xdr:col>2</xdr:col>
                    <xdr:colOff>685800</xdr:colOff>
                    <xdr:row>76</xdr:row>
                    <xdr:rowOff>142875</xdr:rowOff>
                  </from>
                  <to>
                    <xdr:col>2</xdr:col>
                    <xdr:colOff>1295400</xdr:colOff>
                    <xdr:row>78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37" name="Check Box 43">
              <controlPr defaultSize="0" autoFill="0" autoLine="0" autoPict="0">
                <anchor moveWithCells="1">
                  <from>
                    <xdr:col>2</xdr:col>
                    <xdr:colOff>695325</xdr:colOff>
                    <xdr:row>79</xdr:row>
                    <xdr:rowOff>161925</xdr:rowOff>
                  </from>
                  <to>
                    <xdr:col>2</xdr:col>
                    <xdr:colOff>1304925</xdr:colOff>
                    <xdr:row>81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38" name="Check Box 44">
              <controlPr defaultSize="0" autoFill="0" autoLine="0" autoPict="0">
                <anchor moveWithCells="1">
                  <from>
                    <xdr:col>2</xdr:col>
                    <xdr:colOff>685800</xdr:colOff>
                    <xdr:row>80</xdr:row>
                    <xdr:rowOff>171450</xdr:rowOff>
                  </from>
                  <to>
                    <xdr:col>2</xdr:col>
                    <xdr:colOff>1295400</xdr:colOff>
                    <xdr:row>82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39" name="Check Box 45">
              <controlPr defaultSize="0" autoFill="0" autoLine="0" autoPict="0">
                <anchor moveWithCells="1">
                  <from>
                    <xdr:col>2</xdr:col>
                    <xdr:colOff>685800</xdr:colOff>
                    <xdr:row>81</xdr:row>
                    <xdr:rowOff>142875</xdr:rowOff>
                  </from>
                  <to>
                    <xdr:col>2</xdr:col>
                    <xdr:colOff>1295400</xdr:colOff>
                    <xdr:row>83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40" name="Check Box 49">
              <controlPr defaultSize="0" autoFill="0" autoLine="0" autoPict="0">
                <anchor moveWithCells="1">
                  <from>
                    <xdr:col>2</xdr:col>
                    <xdr:colOff>695325</xdr:colOff>
                    <xdr:row>89</xdr:row>
                    <xdr:rowOff>161925</xdr:rowOff>
                  </from>
                  <to>
                    <xdr:col>2</xdr:col>
                    <xdr:colOff>1304925</xdr:colOff>
                    <xdr:row>91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41" name="Check Box 50">
              <controlPr defaultSize="0" autoFill="0" autoLine="0" autoPict="0">
                <anchor moveWithCells="1">
                  <from>
                    <xdr:col>2</xdr:col>
                    <xdr:colOff>685800</xdr:colOff>
                    <xdr:row>90</xdr:row>
                    <xdr:rowOff>171450</xdr:rowOff>
                  </from>
                  <to>
                    <xdr:col>2</xdr:col>
                    <xdr:colOff>1295400</xdr:colOff>
                    <xdr:row>92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42" name="Check Box 51">
              <controlPr defaultSize="0" autoFill="0" autoLine="0" autoPict="0">
                <anchor moveWithCells="1">
                  <from>
                    <xdr:col>2</xdr:col>
                    <xdr:colOff>685800</xdr:colOff>
                    <xdr:row>91</xdr:row>
                    <xdr:rowOff>142875</xdr:rowOff>
                  </from>
                  <to>
                    <xdr:col>2</xdr:col>
                    <xdr:colOff>1295400</xdr:colOff>
                    <xdr:row>93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43" name="Check Box 52">
              <controlPr defaultSize="0" autoFill="0" autoLine="0" autoPict="0">
                <anchor moveWithCells="1">
                  <from>
                    <xdr:col>2</xdr:col>
                    <xdr:colOff>695325</xdr:colOff>
                    <xdr:row>95</xdr:row>
                    <xdr:rowOff>161925</xdr:rowOff>
                  </from>
                  <to>
                    <xdr:col>2</xdr:col>
                    <xdr:colOff>1304925</xdr:colOff>
                    <xdr:row>97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44" name="Check Box 53">
              <controlPr defaultSize="0" autoFill="0" autoLine="0" autoPict="0">
                <anchor moveWithCells="1">
                  <from>
                    <xdr:col>2</xdr:col>
                    <xdr:colOff>685800</xdr:colOff>
                    <xdr:row>96</xdr:row>
                    <xdr:rowOff>171450</xdr:rowOff>
                  </from>
                  <to>
                    <xdr:col>2</xdr:col>
                    <xdr:colOff>1295400</xdr:colOff>
                    <xdr:row>98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45" name="Check Box 54">
              <controlPr defaultSize="0" autoFill="0" autoLine="0" autoPict="0">
                <anchor moveWithCells="1">
                  <from>
                    <xdr:col>2</xdr:col>
                    <xdr:colOff>685800</xdr:colOff>
                    <xdr:row>97</xdr:row>
                    <xdr:rowOff>142875</xdr:rowOff>
                  </from>
                  <to>
                    <xdr:col>2</xdr:col>
                    <xdr:colOff>1295400</xdr:colOff>
                    <xdr:row>99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46" name="Check Box 55">
              <controlPr defaultSize="0" autoFill="0" autoLine="0" autoPict="0">
                <anchor moveWithCells="1">
                  <from>
                    <xdr:col>2</xdr:col>
                    <xdr:colOff>695325</xdr:colOff>
                    <xdr:row>101</xdr:row>
                    <xdr:rowOff>161925</xdr:rowOff>
                  </from>
                  <to>
                    <xdr:col>2</xdr:col>
                    <xdr:colOff>1304925</xdr:colOff>
                    <xdr:row>103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47" name="Check Box 56">
              <controlPr defaultSize="0" autoFill="0" autoLine="0" autoPict="0">
                <anchor moveWithCells="1">
                  <from>
                    <xdr:col>2</xdr:col>
                    <xdr:colOff>685800</xdr:colOff>
                    <xdr:row>102</xdr:row>
                    <xdr:rowOff>171450</xdr:rowOff>
                  </from>
                  <to>
                    <xdr:col>2</xdr:col>
                    <xdr:colOff>1295400</xdr:colOff>
                    <xdr:row>104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48" name="Check Box 57">
              <controlPr defaultSize="0" autoFill="0" autoLine="0" autoPict="0">
                <anchor moveWithCells="1">
                  <from>
                    <xdr:col>2</xdr:col>
                    <xdr:colOff>685800</xdr:colOff>
                    <xdr:row>103</xdr:row>
                    <xdr:rowOff>142875</xdr:rowOff>
                  </from>
                  <to>
                    <xdr:col>2</xdr:col>
                    <xdr:colOff>1295400</xdr:colOff>
                    <xdr:row>105</xdr:row>
                    <xdr:rowOff>104775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D1527-7F7A-40E3-972C-2DDC9E218252}">
  <dimension ref="A1:E20"/>
  <sheetViews>
    <sheetView showGridLines="0" workbookViewId="0">
      <selection activeCell="E5" sqref="E5"/>
    </sheetView>
  </sheetViews>
  <sheetFormatPr baseColWidth="10" defaultColWidth="9.140625" defaultRowHeight="15" x14ac:dyDescent="0.25"/>
  <cols>
    <col min="1" max="1" width="25" customWidth="1"/>
    <col min="2" max="2" width="90" customWidth="1"/>
    <col min="3" max="3" width="15" customWidth="1"/>
    <col min="4" max="4" width="12" customWidth="1"/>
    <col min="5" max="5" width="12.5703125" customWidth="1"/>
  </cols>
  <sheetData>
    <row r="1" spans="1:5" ht="18.75" x14ac:dyDescent="0.3">
      <c r="A1" s="78" t="s">
        <v>76</v>
      </c>
      <c r="B1" s="79"/>
      <c r="C1" s="79"/>
    </row>
    <row r="2" spans="1:5" ht="18.75" x14ac:dyDescent="0.3">
      <c r="A2" s="78" t="s">
        <v>85</v>
      </c>
      <c r="B2" s="78"/>
    </row>
    <row r="3" spans="1:5" ht="18.75" x14ac:dyDescent="0.3">
      <c r="A3" s="3"/>
    </row>
    <row r="4" spans="1:5" ht="15.75" x14ac:dyDescent="0.25">
      <c r="C4" s="77" t="s">
        <v>84</v>
      </c>
      <c r="D4" s="77"/>
      <c r="E4" s="77"/>
    </row>
    <row r="5" spans="1:5" ht="18.75" x14ac:dyDescent="0.3">
      <c r="A5" s="10" t="s">
        <v>0</v>
      </c>
      <c r="B5" s="10" t="s">
        <v>1</v>
      </c>
      <c r="C5" s="10">
        <v>2</v>
      </c>
      <c r="D5" s="11">
        <v>1</v>
      </c>
      <c r="E5" s="11">
        <v>0</v>
      </c>
    </row>
    <row r="6" spans="1:5" x14ac:dyDescent="0.25">
      <c r="A6" s="5" t="s">
        <v>5</v>
      </c>
      <c r="B6" s="5" t="s">
        <v>39</v>
      </c>
      <c r="C6" s="4" t="s">
        <v>77</v>
      </c>
      <c r="D6" s="4" t="s">
        <v>12</v>
      </c>
      <c r="E6" s="4" t="s">
        <v>78</v>
      </c>
    </row>
    <row r="7" spans="1:5" x14ac:dyDescent="0.25">
      <c r="A7" s="5" t="s">
        <v>5</v>
      </c>
      <c r="B7" s="5" t="s">
        <v>35</v>
      </c>
      <c r="C7" s="4" t="s">
        <v>79</v>
      </c>
      <c r="D7" s="4" t="s">
        <v>77</v>
      </c>
      <c r="E7" s="4">
        <v>0</v>
      </c>
    </row>
    <row r="8" spans="1:5" x14ac:dyDescent="0.25">
      <c r="A8" s="5" t="s">
        <v>5</v>
      </c>
      <c r="B8" s="5" t="s">
        <v>17</v>
      </c>
      <c r="C8" s="6" t="s">
        <v>12</v>
      </c>
      <c r="D8" s="4" t="s">
        <v>79</v>
      </c>
      <c r="E8" s="4" t="s">
        <v>77</v>
      </c>
    </row>
    <row r="9" spans="1:5" x14ac:dyDescent="0.25">
      <c r="A9" s="7" t="s">
        <v>6</v>
      </c>
      <c r="B9" s="7" t="s">
        <v>61</v>
      </c>
      <c r="C9" s="4" t="s">
        <v>12</v>
      </c>
      <c r="D9" s="4" t="s">
        <v>77</v>
      </c>
      <c r="E9" s="4" t="s">
        <v>78</v>
      </c>
    </row>
    <row r="10" spans="1:5" x14ac:dyDescent="0.25">
      <c r="A10" s="7" t="s">
        <v>6</v>
      </c>
      <c r="B10" s="7" t="s">
        <v>53</v>
      </c>
      <c r="C10" s="4" t="s">
        <v>79</v>
      </c>
      <c r="D10" s="4" t="s">
        <v>12</v>
      </c>
      <c r="E10" s="4" t="s">
        <v>77</v>
      </c>
    </row>
    <row r="11" spans="1:5" x14ac:dyDescent="0.25">
      <c r="A11" s="7" t="s">
        <v>6</v>
      </c>
      <c r="B11" s="7" t="s">
        <v>49</v>
      </c>
      <c r="C11" s="4" t="s">
        <v>12</v>
      </c>
      <c r="D11" s="4" t="s">
        <v>79</v>
      </c>
      <c r="E11" s="4" t="s">
        <v>77</v>
      </c>
    </row>
    <row r="12" spans="1:5" x14ac:dyDescent="0.25">
      <c r="A12" s="7" t="s">
        <v>6</v>
      </c>
      <c r="B12" s="7" t="s">
        <v>24</v>
      </c>
      <c r="C12" s="4" t="s">
        <v>77</v>
      </c>
      <c r="D12" s="4" t="s">
        <v>78</v>
      </c>
      <c r="E12" s="4" t="s">
        <v>82</v>
      </c>
    </row>
    <row r="13" spans="1:5" x14ac:dyDescent="0.25">
      <c r="A13" s="8" t="s">
        <v>7</v>
      </c>
      <c r="B13" s="8" t="s">
        <v>57</v>
      </c>
      <c r="C13" s="4" t="s">
        <v>77</v>
      </c>
      <c r="D13" s="4" t="s">
        <v>78</v>
      </c>
      <c r="E13" s="4" t="s">
        <v>82</v>
      </c>
    </row>
    <row r="14" spans="1:5" x14ac:dyDescent="0.25">
      <c r="A14" s="8" t="s">
        <v>7</v>
      </c>
      <c r="B14" s="8" t="s">
        <v>31</v>
      </c>
      <c r="C14" s="4" t="s">
        <v>79</v>
      </c>
      <c r="D14" s="4" t="s">
        <v>12</v>
      </c>
      <c r="E14" s="4" t="s">
        <v>77</v>
      </c>
    </row>
    <row r="15" spans="1:5" ht="15" customHeight="1" x14ac:dyDescent="0.25">
      <c r="A15" s="8" t="s">
        <v>7</v>
      </c>
      <c r="B15" s="8" t="s">
        <v>64</v>
      </c>
      <c r="C15" s="4" t="s">
        <v>79</v>
      </c>
      <c r="D15" s="4" t="s">
        <v>77</v>
      </c>
      <c r="E15" s="4" t="s">
        <v>82</v>
      </c>
    </row>
    <row r="16" spans="1:5" x14ac:dyDescent="0.25">
      <c r="A16" s="8" t="s">
        <v>7</v>
      </c>
      <c r="B16" s="8" t="s">
        <v>68</v>
      </c>
      <c r="C16" s="4" t="s">
        <v>79</v>
      </c>
      <c r="D16" s="4" t="s">
        <v>12</v>
      </c>
      <c r="E16" s="4" t="s">
        <v>77</v>
      </c>
    </row>
    <row r="17" spans="1:5" x14ac:dyDescent="0.25">
      <c r="A17" s="9" t="s">
        <v>8</v>
      </c>
      <c r="B17" s="9" t="s">
        <v>43</v>
      </c>
      <c r="C17" s="4" t="s">
        <v>12</v>
      </c>
      <c r="D17" s="4" t="s">
        <v>79</v>
      </c>
      <c r="E17" s="4" t="s">
        <v>77</v>
      </c>
    </row>
    <row r="18" spans="1:5" x14ac:dyDescent="0.25">
      <c r="A18" s="9" t="s">
        <v>8</v>
      </c>
      <c r="B18" s="9" t="s">
        <v>9</v>
      </c>
      <c r="C18" s="4" t="s">
        <v>12</v>
      </c>
      <c r="D18" s="4" t="s">
        <v>79</v>
      </c>
      <c r="E18" s="4" t="s">
        <v>77</v>
      </c>
    </row>
    <row r="19" spans="1:5" x14ac:dyDescent="0.25">
      <c r="A19" s="9" t="s">
        <v>8</v>
      </c>
      <c r="B19" s="9" t="s">
        <v>21</v>
      </c>
      <c r="C19" s="4" t="s">
        <v>77</v>
      </c>
      <c r="D19" s="4" t="s">
        <v>79</v>
      </c>
      <c r="E19" s="4" t="s">
        <v>82</v>
      </c>
    </row>
    <row r="20" spans="1:5" x14ac:dyDescent="0.25">
      <c r="A20" s="9" t="s">
        <v>8</v>
      </c>
      <c r="B20" s="9" t="s">
        <v>71</v>
      </c>
      <c r="C20" s="4" t="s">
        <v>79</v>
      </c>
      <c r="D20" s="4" t="s">
        <v>77</v>
      </c>
      <c r="E20" s="4" t="s">
        <v>82</v>
      </c>
    </row>
  </sheetData>
  <mergeCells count="3">
    <mergeCell ref="C4:E4"/>
    <mergeCell ref="A2:B2"/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showGridLines="0" topLeftCell="A37" workbookViewId="0">
      <selection activeCell="A40" sqref="A40"/>
    </sheetView>
  </sheetViews>
  <sheetFormatPr baseColWidth="10" defaultColWidth="9.140625" defaultRowHeight="15" x14ac:dyDescent="0.25"/>
  <cols>
    <col min="1" max="1" width="30.140625" customWidth="1"/>
    <col min="2" max="2" width="49.7109375" customWidth="1"/>
    <col min="3" max="3" width="15" customWidth="1"/>
    <col min="4" max="4" width="14.85546875" customWidth="1"/>
  </cols>
  <sheetData>
    <row r="1" spans="1:5" ht="15.75" x14ac:dyDescent="0.25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</row>
    <row r="2" spans="1:5" ht="15" customHeight="1" x14ac:dyDescent="0.25">
      <c r="A2" s="43" t="s">
        <v>5</v>
      </c>
      <c r="B2" s="44" t="s">
        <v>75</v>
      </c>
      <c r="C2" s="45" t="s">
        <v>108</v>
      </c>
      <c r="D2" s="50" t="s">
        <v>80</v>
      </c>
      <c r="E2" s="46">
        <f t="shared" ref="E2:E16" si="0">IF(D2="Correcta",2,IF(D2="Parcial",1,0))</f>
        <v>2</v>
      </c>
    </row>
    <row r="3" spans="1:5" ht="30" x14ac:dyDescent="0.25">
      <c r="A3" s="43" t="s">
        <v>5</v>
      </c>
      <c r="B3" s="44" t="s">
        <v>35</v>
      </c>
      <c r="C3" s="45" t="s">
        <v>109</v>
      </c>
      <c r="D3" s="50" t="s">
        <v>80</v>
      </c>
      <c r="E3" s="46">
        <f t="shared" si="0"/>
        <v>2</v>
      </c>
    </row>
    <row r="4" spans="1:5" ht="19.5" customHeight="1" x14ac:dyDescent="0.25">
      <c r="A4" s="43" t="s">
        <v>5</v>
      </c>
      <c r="B4" s="44" t="s">
        <v>17</v>
      </c>
      <c r="C4" s="45" t="s">
        <v>109</v>
      </c>
      <c r="D4" s="50" t="s">
        <v>11</v>
      </c>
      <c r="E4" s="46">
        <f t="shared" si="0"/>
        <v>1</v>
      </c>
    </row>
    <row r="5" spans="1:5" ht="39.75" customHeight="1" x14ac:dyDescent="0.25">
      <c r="A5" s="16" t="s">
        <v>6</v>
      </c>
      <c r="B5" s="47" t="s">
        <v>61</v>
      </c>
      <c r="C5" s="48" t="s">
        <v>108</v>
      </c>
      <c r="D5" s="51" t="s">
        <v>11</v>
      </c>
      <c r="E5" s="49">
        <f t="shared" si="0"/>
        <v>1</v>
      </c>
    </row>
    <row r="6" spans="1:5" ht="37.5" customHeight="1" x14ac:dyDescent="0.25">
      <c r="A6" s="16" t="s">
        <v>6</v>
      </c>
      <c r="B6" s="47" t="s">
        <v>53</v>
      </c>
      <c r="C6" s="48" t="s">
        <v>109</v>
      </c>
      <c r="D6" s="51" t="s">
        <v>80</v>
      </c>
      <c r="E6" s="49">
        <f t="shared" si="0"/>
        <v>2</v>
      </c>
    </row>
    <row r="7" spans="1:5" ht="44.25" customHeight="1" x14ac:dyDescent="0.25">
      <c r="A7" s="16" t="s">
        <v>6</v>
      </c>
      <c r="B7" s="47" t="s">
        <v>49</v>
      </c>
      <c r="C7" s="48" t="s">
        <v>110</v>
      </c>
      <c r="D7" s="51" t="s">
        <v>80</v>
      </c>
      <c r="E7" s="49">
        <f t="shared" si="0"/>
        <v>2</v>
      </c>
    </row>
    <row r="8" spans="1:5" ht="30" x14ac:dyDescent="0.25">
      <c r="A8" s="16" t="s">
        <v>6</v>
      </c>
      <c r="B8" s="47" t="s">
        <v>24</v>
      </c>
      <c r="C8" s="48" t="s">
        <v>108</v>
      </c>
      <c r="D8" s="51" t="s">
        <v>80</v>
      </c>
      <c r="E8" s="49">
        <f t="shared" si="0"/>
        <v>2</v>
      </c>
    </row>
    <row r="9" spans="1:5" ht="35.25" customHeight="1" x14ac:dyDescent="0.25">
      <c r="A9" s="52" t="s">
        <v>7</v>
      </c>
      <c r="B9" s="53" t="s">
        <v>57</v>
      </c>
      <c r="C9" s="54" t="s">
        <v>108</v>
      </c>
      <c r="D9" s="55" t="s">
        <v>80</v>
      </c>
      <c r="E9" s="56">
        <f t="shared" si="0"/>
        <v>2</v>
      </c>
    </row>
    <row r="10" spans="1:5" ht="43.5" customHeight="1" x14ac:dyDescent="0.25">
      <c r="A10" s="52" t="s">
        <v>7</v>
      </c>
      <c r="B10" s="53" t="s">
        <v>31</v>
      </c>
      <c r="C10" s="54" t="s">
        <v>109</v>
      </c>
      <c r="D10" s="55" t="s">
        <v>80</v>
      </c>
      <c r="E10" s="56">
        <f t="shared" si="0"/>
        <v>2</v>
      </c>
    </row>
    <row r="11" spans="1:5" ht="37.5" customHeight="1" x14ac:dyDescent="0.25">
      <c r="A11" s="52" t="s">
        <v>7</v>
      </c>
      <c r="B11" s="53" t="s">
        <v>64</v>
      </c>
      <c r="C11" s="54" t="s">
        <v>108</v>
      </c>
      <c r="D11" s="55" t="s">
        <v>11</v>
      </c>
      <c r="E11" s="56">
        <f t="shared" si="0"/>
        <v>1</v>
      </c>
    </row>
    <row r="12" spans="1:5" ht="47.25" customHeight="1" x14ac:dyDescent="0.25">
      <c r="A12" s="52" t="s">
        <v>7</v>
      </c>
      <c r="B12" s="53" t="s">
        <v>68</v>
      </c>
      <c r="C12" s="54" t="s">
        <v>108</v>
      </c>
      <c r="D12" s="55" t="s">
        <v>13</v>
      </c>
      <c r="E12" s="56">
        <f t="shared" si="0"/>
        <v>0</v>
      </c>
    </row>
    <row r="13" spans="1:5" ht="38.25" customHeight="1" x14ac:dyDescent="0.25">
      <c r="A13" s="57" t="s">
        <v>8</v>
      </c>
      <c r="B13" s="58" t="s">
        <v>43</v>
      </c>
      <c r="C13" s="59" t="s">
        <v>109</v>
      </c>
      <c r="D13" s="60" t="s">
        <v>11</v>
      </c>
      <c r="E13" s="61">
        <f t="shared" si="0"/>
        <v>1</v>
      </c>
    </row>
    <row r="14" spans="1:5" ht="33" customHeight="1" x14ac:dyDescent="0.25">
      <c r="A14" s="57" t="s">
        <v>8</v>
      </c>
      <c r="B14" s="58" t="s">
        <v>9</v>
      </c>
      <c r="C14" s="59" t="s">
        <v>110</v>
      </c>
      <c r="D14" s="60" t="s">
        <v>80</v>
      </c>
      <c r="E14" s="61">
        <f t="shared" si="0"/>
        <v>2</v>
      </c>
    </row>
    <row r="15" spans="1:5" ht="36" customHeight="1" x14ac:dyDescent="0.25">
      <c r="A15" s="57" t="s">
        <v>8</v>
      </c>
      <c r="B15" s="58" t="s">
        <v>21</v>
      </c>
      <c r="C15" s="59" t="s">
        <v>108</v>
      </c>
      <c r="D15" s="60" t="s">
        <v>80</v>
      </c>
      <c r="E15" s="61">
        <f t="shared" si="0"/>
        <v>2</v>
      </c>
    </row>
    <row r="16" spans="1:5" ht="41.25" customHeight="1" x14ac:dyDescent="0.25">
      <c r="A16" s="57" t="s">
        <v>8</v>
      </c>
      <c r="B16" s="58" t="s">
        <v>71</v>
      </c>
      <c r="C16" s="59" t="s">
        <v>109</v>
      </c>
      <c r="D16" s="60" t="s">
        <v>80</v>
      </c>
      <c r="E16" s="61">
        <f t="shared" si="0"/>
        <v>2</v>
      </c>
    </row>
    <row r="18" spans="1:5" x14ac:dyDescent="0.25">
      <c r="D18" s="15" t="s">
        <v>10</v>
      </c>
      <c r="E18" s="66">
        <f>SUM(E2:E16)</f>
        <v>24</v>
      </c>
    </row>
    <row r="19" spans="1:5" x14ac:dyDescent="0.25">
      <c r="E19" s="67">
        <f>E18/30</f>
        <v>0.8</v>
      </c>
    </row>
    <row r="21" spans="1:5" x14ac:dyDescent="0.25">
      <c r="A21" s="16" t="s">
        <v>102</v>
      </c>
    </row>
    <row r="22" spans="1:5" x14ac:dyDescent="0.25">
      <c r="A22" s="17" t="s">
        <v>103</v>
      </c>
    </row>
    <row r="23" spans="1:5" x14ac:dyDescent="0.25">
      <c r="A23" s="18" t="s">
        <v>104</v>
      </c>
    </row>
    <row r="35" spans="1:7" x14ac:dyDescent="0.25">
      <c r="A35" s="12" t="s">
        <v>83</v>
      </c>
    </row>
    <row r="36" spans="1:7" x14ac:dyDescent="0.25">
      <c r="A36" s="13" t="str">
        <f>IF(E18&gt;=22,"Alta integridad: El evaluado demuestra un alto sentido de honestidad, respeto a las normas y bajo nivel de tolerancia a conductas indebidas.",IF(E18&gt;=14,"Integridad media: Respeta en gran medida las normas, pero tiende a justificar pequeñas faltas. Requiere supervisión.","Baja integridad: Muestra tolerancia a conductas indebidas o justificación de actos no éticos. Podría representar un riesgo en funciones de seguridad."))</f>
        <v>Alta integridad: El evaluado demuestra un alto sentido de honestidad, respeto a las normas y bajo nivel de tolerancia a conductas indebidas.</v>
      </c>
      <c r="B36" s="14"/>
      <c r="C36" s="14"/>
      <c r="D36" s="14"/>
      <c r="E36" s="14"/>
      <c r="F36" s="14"/>
      <c r="G36" s="14"/>
    </row>
    <row r="38" spans="1:7" x14ac:dyDescent="0.25">
      <c r="A38" s="64" t="s">
        <v>111</v>
      </c>
      <c r="B38" s="64" t="s">
        <v>84</v>
      </c>
      <c r="C38" s="65" t="s">
        <v>113</v>
      </c>
    </row>
    <row r="39" spans="1:7" x14ac:dyDescent="0.25">
      <c r="A39" s="1" t="s">
        <v>5</v>
      </c>
      <c r="B39" s="4">
        <f>SUM(E2:E4)</f>
        <v>5</v>
      </c>
      <c r="C39" s="63">
        <f>B39/6</f>
        <v>0.83333333333333337</v>
      </c>
    </row>
    <row r="40" spans="1:7" x14ac:dyDescent="0.25">
      <c r="A40" s="1" t="s">
        <v>6</v>
      </c>
      <c r="B40" s="4">
        <f>SUM(E5:E8)</f>
        <v>7</v>
      </c>
      <c r="C40" s="63">
        <f>B40/8</f>
        <v>0.875</v>
      </c>
    </row>
    <row r="41" spans="1:7" x14ac:dyDescent="0.25">
      <c r="A41" s="1" t="s">
        <v>7</v>
      </c>
      <c r="B41" s="4">
        <f>SUM(E9:E12)</f>
        <v>5</v>
      </c>
      <c r="C41" s="63">
        <f>B41/8</f>
        <v>0.625</v>
      </c>
    </row>
    <row r="42" spans="1:7" x14ac:dyDescent="0.25">
      <c r="A42" s="1" t="s">
        <v>8</v>
      </c>
      <c r="B42" s="4">
        <f>SUM(E13:E16)</f>
        <v>7</v>
      </c>
      <c r="C42" s="63">
        <f>B42/8</f>
        <v>0.875</v>
      </c>
    </row>
  </sheetData>
  <dataValidations count="1">
    <dataValidation type="list" allowBlank="1" showInputMessage="1" showErrorMessage="1" sqref="D2:D18" xr:uid="{00000000-0002-0000-0000-000000000000}">
      <formula1>"Correcta,Parcial,Incorrecta"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CD0ED-0025-4FFF-8064-83AD273EAE96}">
  <dimension ref="B1:I90"/>
  <sheetViews>
    <sheetView showGridLines="0" tabSelected="1" workbookViewId="0">
      <selection activeCell="L20" sqref="L20"/>
    </sheetView>
  </sheetViews>
  <sheetFormatPr baseColWidth="10" defaultRowHeight="15" x14ac:dyDescent="0.25"/>
  <cols>
    <col min="1" max="1" width="3" customWidth="1"/>
    <col min="3" max="3" width="18.42578125" customWidth="1"/>
    <col min="4" max="4" width="10.28515625" customWidth="1"/>
    <col min="5" max="5" width="10.5703125" customWidth="1"/>
    <col min="8" max="8" width="8.85546875" customWidth="1"/>
  </cols>
  <sheetData>
    <row r="1" spans="2:8" ht="13.5" customHeight="1" x14ac:dyDescent="0.25">
      <c r="B1" s="19"/>
      <c r="C1" s="20"/>
      <c r="D1" s="20"/>
      <c r="E1" s="20"/>
      <c r="F1" s="20"/>
      <c r="G1" s="20"/>
      <c r="H1" s="21"/>
    </row>
    <row r="2" spans="2:8" ht="26.25" customHeight="1" x14ac:dyDescent="0.25">
      <c r="B2" s="22"/>
      <c r="H2" s="23"/>
    </row>
    <row r="3" spans="2:8" ht="31.5" customHeight="1" x14ac:dyDescent="0.25">
      <c r="B3" s="82" t="s">
        <v>86</v>
      </c>
      <c r="C3" s="83"/>
      <c r="D3" s="83"/>
      <c r="E3" s="83"/>
      <c r="F3" s="83"/>
      <c r="G3" s="83"/>
      <c r="H3" s="84"/>
    </row>
    <row r="4" spans="2:8" ht="26.25" customHeight="1" x14ac:dyDescent="0.25">
      <c r="B4" s="24" t="s">
        <v>87</v>
      </c>
      <c r="D4" s="94">
        <f>'CUESTIONARIO '!C4:D4</f>
        <v>0</v>
      </c>
      <c r="E4" s="94"/>
      <c r="F4" s="94"/>
      <c r="G4" s="94"/>
      <c r="H4" s="95"/>
    </row>
    <row r="5" spans="2:8" ht="20.25" customHeight="1" x14ac:dyDescent="0.25">
      <c r="B5" s="25" t="s">
        <v>88</v>
      </c>
      <c r="D5" s="80"/>
      <c r="E5" s="80"/>
      <c r="F5" s="80"/>
      <c r="G5" s="80"/>
      <c r="H5" s="81"/>
    </row>
    <row r="6" spans="2:8" x14ac:dyDescent="0.25">
      <c r="B6" s="22"/>
      <c r="H6" s="23"/>
    </row>
    <row r="7" spans="2:8" ht="17.25" x14ac:dyDescent="0.25">
      <c r="B7" s="26" t="s">
        <v>92</v>
      </c>
      <c r="H7" s="23"/>
    </row>
    <row r="8" spans="2:8" x14ac:dyDescent="0.25">
      <c r="B8" s="22"/>
      <c r="H8" s="23"/>
    </row>
    <row r="9" spans="2:8" x14ac:dyDescent="0.25">
      <c r="B9" s="25" t="s">
        <v>93</v>
      </c>
      <c r="D9" s="62">
        <f>'RESULTADOS '!$E$19</f>
        <v>0.8</v>
      </c>
      <c r="E9" t="s">
        <v>112</v>
      </c>
      <c r="H9" s="23"/>
    </row>
    <row r="10" spans="2:8" ht="32.25" customHeight="1" x14ac:dyDescent="0.25">
      <c r="B10" s="25" t="s">
        <v>101</v>
      </c>
      <c r="D10" s="75" t="str">
        <f>'RESULTADOS '!A36</f>
        <v>Alta integridad: El evaluado demuestra un alto sentido de honestidad, respeto a las normas y bajo nivel de tolerancia a conductas indebidas.</v>
      </c>
      <c r="E10" s="75"/>
      <c r="F10" s="75"/>
      <c r="G10" s="75"/>
      <c r="H10" s="93"/>
    </row>
    <row r="11" spans="2:8" x14ac:dyDescent="0.25">
      <c r="B11" s="22"/>
      <c r="D11" s="75"/>
      <c r="E11" s="75"/>
      <c r="F11" s="75"/>
      <c r="G11" s="75"/>
      <c r="H11" s="93"/>
    </row>
    <row r="12" spans="2:8" x14ac:dyDescent="0.25">
      <c r="B12" s="22"/>
      <c r="H12" s="23"/>
    </row>
    <row r="13" spans="2:8" x14ac:dyDescent="0.25">
      <c r="B13" s="22"/>
      <c r="H13" s="23"/>
    </row>
    <row r="14" spans="2:8" x14ac:dyDescent="0.25">
      <c r="B14" s="22"/>
      <c r="H14" s="23"/>
    </row>
    <row r="15" spans="2:8" x14ac:dyDescent="0.25">
      <c r="B15" s="22"/>
      <c r="H15" s="23"/>
    </row>
    <row r="16" spans="2:8" x14ac:dyDescent="0.25">
      <c r="B16" s="22"/>
      <c r="H16" s="23"/>
    </row>
    <row r="17" spans="2:8" x14ac:dyDescent="0.25">
      <c r="B17" s="22"/>
      <c r="H17" s="23"/>
    </row>
    <row r="18" spans="2:8" x14ac:dyDescent="0.25">
      <c r="B18" s="22"/>
      <c r="H18" s="23"/>
    </row>
    <row r="19" spans="2:8" x14ac:dyDescent="0.25">
      <c r="B19" s="22"/>
      <c r="H19" s="23"/>
    </row>
    <row r="20" spans="2:8" x14ac:dyDescent="0.25">
      <c r="B20" s="22"/>
      <c r="H20" s="23"/>
    </row>
    <row r="21" spans="2:8" x14ac:dyDescent="0.25">
      <c r="B21" s="22"/>
      <c r="H21" s="23"/>
    </row>
    <row r="22" spans="2:8" x14ac:dyDescent="0.25">
      <c r="B22" s="22"/>
      <c r="H22" s="23"/>
    </row>
    <row r="23" spans="2:8" x14ac:dyDescent="0.25">
      <c r="B23" s="22"/>
      <c r="H23" s="23"/>
    </row>
    <row r="24" spans="2:8" x14ac:dyDescent="0.25">
      <c r="B24" s="22"/>
      <c r="H24" s="23"/>
    </row>
    <row r="25" spans="2:8" x14ac:dyDescent="0.25">
      <c r="B25" s="22"/>
      <c r="H25" s="23"/>
    </row>
    <row r="26" spans="2:8" x14ac:dyDescent="0.25">
      <c r="B26" s="22"/>
      <c r="H26" s="23"/>
    </row>
    <row r="27" spans="2:8" x14ac:dyDescent="0.25">
      <c r="B27" s="22"/>
      <c r="H27" s="23"/>
    </row>
    <row r="28" spans="2:8" x14ac:dyDescent="0.25">
      <c r="B28" s="22"/>
      <c r="H28" s="23"/>
    </row>
    <row r="29" spans="2:8" x14ac:dyDescent="0.25">
      <c r="B29" s="22"/>
      <c r="H29" s="23"/>
    </row>
    <row r="30" spans="2:8" x14ac:dyDescent="0.25">
      <c r="B30" s="22"/>
      <c r="H30" s="23"/>
    </row>
    <row r="31" spans="2:8" x14ac:dyDescent="0.25">
      <c r="B31" s="22"/>
      <c r="H31" s="23"/>
    </row>
    <row r="32" spans="2:8" x14ac:dyDescent="0.25">
      <c r="B32" s="22"/>
      <c r="H32" s="23"/>
    </row>
    <row r="33" spans="2:9" x14ac:dyDescent="0.25">
      <c r="B33" s="22"/>
      <c r="H33" s="23"/>
    </row>
    <row r="34" spans="2:9" x14ac:dyDescent="0.25">
      <c r="B34" s="22"/>
      <c r="H34" s="23"/>
    </row>
    <row r="35" spans="2:9" x14ac:dyDescent="0.25">
      <c r="B35" s="22"/>
      <c r="H35" s="23"/>
    </row>
    <row r="36" spans="2:9" ht="17.25" x14ac:dyDescent="0.25">
      <c r="B36" s="26" t="s">
        <v>94</v>
      </c>
      <c r="H36" s="23"/>
    </row>
    <row r="37" spans="2:9" ht="44.25" customHeight="1" x14ac:dyDescent="0.25">
      <c r="B37" s="91" t="s">
        <v>95</v>
      </c>
      <c r="C37" s="92"/>
      <c r="D37" s="92"/>
      <c r="E37" s="92"/>
      <c r="F37" s="92"/>
      <c r="G37" s="92"/>
      <c r="H37" s="23"/>
    </row>
    <row r="38" spans="2:9" ht="31.5" customHeight="1" x14ac:dyDescent="0.25">
      <c r="B38" s="85" t="s">
        <v>105</v>
      </c>
      <c r="C38" s="86"/>
      <c r="D38" s="86"/>
      <c r="E38" s="86"/>
      <c r="F38" s="86"/>
      <c r="G38" s="86"/>
      <c r="H38" s="23"/>
    </row>
    <row r="39" spans="2:9" ht="28.5" customHeight="1" x14ac:dyDescent="0.25">
      <c r="B39" s="85" t="s">
        <v>106</v>
      </c>
      <c r="C39" s="86"/>
      <c r="D39" s="86"/>
      <c r="E39" s="86"/>
      <c r="F39" s="86"/>
      <c r="G39" s="86"/>
      <c r="H39" s="87"/>
    </row>
    <row r="40" spans="2:9" ht="27.75" customHeight="1" thickBot="1" x14ac:dyDescent="0.3">
      <c r="B40" s="88" t="s">
        <v>107</v>
      </c>
      <c r="C40" s="89"/>
      <c r="D40" s="89"/>
      <c r="E40" s="89"/>
      <c r="F40" s="89"/>
      <c r="G40" s="89"/>
      <c r="H40" s="90"/>
      <c r="I40" s="31"/>
    </row>
    <row r="42" spans="2:9" ht="15.75" thickBot="1" x14ac:dyDescent="0.3"/>
    <row r="43" spans="2:9" x14ac:dyDescent="0.25">
      <c r="B43" s="19"/>
      <c r="C43" s="20"/>
      <c r="D43" s="20"/>
      <c r="E43" s="20"/>
      <c r="F43" s="20"/>
      <c r="G43" s="20"/>
      <c r="H43" s="21"/>
    </row>
    <row r="44" spans="2:9" ht="17.25" x14ac:dyDescent="0.25">
      <c r="B44" s="26" t="s">
        <v>96</v>
      </c>
      <c r="H44" s="23"/>
    </row>
    <row r="45" spans="2:9" x14ac:dyDescent="0.25">
      <c r="B45" s="22"/>
      <c r="H45" s="23"/>
    </row>
    <row r="46" spans="2:9" x14ac:dyDescent="0.25">
      <c r="B46" s="27" t="s">
        <v>97</v>
      </c>
      <c r="H46" s="23"/>
    </row>
    <row r="47" spans="2:9" x14ac:dyDescent="0.25">
      <c r="B47" s="27" t="s">
        <v>98</v>
      </c>
      <c r="H47" s="23"/>
    </row>
    <row r="48" spans="2:9" x14ac:dyDescent="0.25">
      <c r="B48" s="27" t="s">
        <v>99</v>
      </c>
      <c r="H48" s="23"/>
    </row>
    <row r="49" spans="2:8" x14ac:dyDescent="0.25">
      <c r="B49" s="27" t="s">
        <v>100</v>
      </c>
      <c r="H49" s="23"/>
    </row>
    <row r="50" spans="2:8" x14ac:dyDescent="0.25">
      <c r="B50" s="22"/>
      <c r="H50" s="23"/>
    </row>
    <row r="51" spans="2:8" x14ac:dyDescent="0.25">
      <c r="B51" s="22"/>
      <c r="H51" s="23"/>
    </row>
    <row r="52" spans="2:8" x14ac:dyDescent="0.25">
      <c r="B52" s="22"/>
      <c r="H52" s="23"/>
    </row>
    <row r="53" spans="2:8" x14ac:dyDescent="0.25">
      <c r="B53" s="22"/>
      <c r="H53" s="23"/>
    </row>
    <row r="54" spans="2:8" x14ac:dyDescent="0.25">
      <c r="B54" s="22"/>
      <c r="H54" s="23"/>
    </row>
    <row r="55" spans="2:8" x14ac:dyDescent="0.25">
      <c r="B55" s="22"/>
      <c r="H55" s="23"/>
    </row>
    <row r="56" spans="2:8" x14ac:dyDescent="0.25">
      <c r="B56" s="22"/>
      <c r="H56" s="23"/>
    </row>
    <row r="57" spans="2:8" x14ac:dyDescent="0.25">
      <c r="B57" s="22"/>
      <c r="H57" s="23"/>
    </row>
    <row r="58" spans="2:8" x14ac:dyDescent="0.25">
      <c r="B58" s="22"/>
      <c r="H58" s="23"/>
    </row>
    <row r="59" spans="2:8" x14ac:dyDescent="0.25">
      <c r="B59" s="22"/>
      <c r="H59" s="23"/>
    </row>
    <row r="60" spans="2:8" x14ac:dyDescent="0.25">
      <c r="B60" s="22"/>
      <c r="H60" s="23"/>
    </row>
    <row r="61" spans="2:8" x14ac:dyDescent="0.25">
      <c r="B61" s="22"/>
      <c r="H61" s="23"/>
    </row>
    <row r="62" spans="2:8" x14ac:dyDescent="0.25">
      <c r="B62" s="22"/>
      <c r="H62" s="23"/>
    </row>
    <row r="63" spans="2:8" x14ac:dyDescent="0.25">
      <c r="B63" s="22"/>
      <c r="H63" s="23"/>
    </row>
    <row r="64" spans="2:8" x14ac:dyDescent="0.25">
      <c r="B64" s="22"/>
      <c r="H64" s="23"/>
    </row>
    <row r="65" spans="2:8" x14ac:dyDescent="0.25">
      <c r="B65" s="22"/>
      <c r="H65" s="23"/>
    </row>
    <row r="66" spans="2:8" x14ac:dyDescent="0.25">
      <c r="B66" s="22"/>
      <c r="H66" s="23"/>
    </row>
    <row r="67" spans="2:8" x14ac:dyDescent="0.25">
      <c r="B67" s="22"/>
      <c r="H67" s="23"/>
    </row>
    <row r="68" spans="2:8" x14ac:dyDescent="0.25">
      <c r="B68" s="22"/>
      <c r="H68" s="23"/>
    </row>
    <row r="69" spans="2:8" x14ac:dyDescent="0.25">
      <c r="B69" s="22"/>
      <c r="H69" s="23"/>
    </row>
    <row r="70" spans="2:8" x14ac:dyDescent="0.25">
      <c r="B70" s="22"/>
      <c r="H70" s="23"/>
    </row>
    <row r="71" spans="2:8" x14ac:dyDescent="0.25">
      <c r="B71" s="22"/>
      <c r="H71" s="23"/>
    </row>
    <row r="72" spans="2:8" x14ac:dyDescent="0.25">
      <c r="B72" s="22"/>
      <c r="H72" s="23"/>
    </row>
    <row r="73" spans="2:8" x14ac:dyDescent="0.25">
      <c r="B73" s="22"/>
      <c r="H73" s="23"/>
    </row>
    <row r="74" spans="2:8" x14ac:dyDescent="0.25">
      <c r="B74" s="22"/>
      <c r="H74" s="23"/>
    </row>
    <row r="75" spans="2:8" x14ac:dyDescent="0.25">
      <c r="B75" s="22"/>
      <c r="H75" s="23"/>
    </row>
    <row r="76" spans="2:8" x14ac:dyDescent="0.25">
      <c r="B76" s="22"/>
      <c r="H76" s="23"/>
    </row>
    <row r="77" spans="2:8" x14ac:dyDescent="0.25">
      <c r="B77" s="22"/>
      <c r="H77" s="23"/>
    </row>
    <row r="78" spans="2:8" x14ac:dyDescent="0.25">
      <c r="B78" s="22"/>
      <c r="H78" s="23"/>
    </row>
    <row r="79" spans="2:8" x14ac:dyDescent="0.25">
      <c r="B79" s="22"/>
      <c r="H79" s="23"/>
    </row>
    <row r="80" spans="2:8" x14ac:dyDescent="0.25">
      <c r="B80" s="22"/>
      <c r="H80" s="23"/>
    </row>
    <row r="81" spans="2:8" x14ac:dyDescent="0.25">
      <c r="B81" s="22"/>
      <c r="H81" s="23"/>
    </row>
    <row r="82" spans="2:8" x14ac:dyDescent="0.25">
      <c r="B82" s="22"/>
      <c r="H82" s="23"/>
    </row>
    <row r="83" spans="2:8" x14ac:dyDescent="0.25">
      <c r="B83" s="22"/>
      <c r="H83" s="23"/>
    </row>
    <row r="84" spans="2:8" x14ac:dyDescent="0.25">
      <c r="B84" s="22"/>
      <c r="H84" s="23"/>
    </row>
    <row r="85" spans="2:8" x14ac:dyDescent="0.25">
      <c r="B85" s="22"/>
      <c r="H85" s="23"/>
    </row>
    <row r="86" spans="2:8" x14ac:dyDescent="0.25">
      <c r="B86" s="22"/>
      <c r="H86" s="23"/>
    </row>
    <row r="87" spans="2:8" x14ac:dyDescent="0.25">
      <c r="B87" s="22"/>
      <c r="H87" s="23"/>
    </row>
    <row r="88" spans="2:8" x14ac:dyDescent="0.25">
      <c r="B88" s="22"/>
      <c r="H88" s="23"/>
    </row>
    <row r="89" spans="2:8" x14ac:dyDescent="0.25">
      <c r="B89" s="22"/>
      <c r="H89" s="23"/>
    </row>
    <row r="90" spans="2:8" ht="15.75" thickBot="1" x14ac:dyDescent="0.3">
      <c r="B90" s="28"/>
      <c r="C90" s="29"/>
      <c r="D90" s="29"/>
      <c r="E90" s="29"/>
      <c r="F90" s="29"/>
      <c r="G90" s="29"/>
      <c r="H90" s="30"/>
    </row>
  </sheetData>
  <mergeCells count="8">
    <mergeCell ref="D5:H5"/>
    <mergeCell ref="B3:H3"/>
    <mergeCell ref="B39:H39"/>
    <mergeCell ref="B40:H40"/>
    <mergeCell ref="B38:G38"/>
    <mergeCell ref="B37:G37"/>
    <mergeCell ref="D10:H11"/>
    <mergeCell ref="D4:H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CUESTIONARIO </vt:lpstr>
      <vt:lpstr>VALORACION</vt:lpstr>
      <vt:lpstr>RESULTADOS </vt:lpstr>
      <vt:lpstr>INFORME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Rubi Quezada</cp:lastModifiedBy>
  <cp:lastPrinted>2025-09-01T19:23:50Z</cp:lastPrinted>
  <dcterms:created xsi:type="dcterms:W3CDTF">2025-08-29T04:24:02Z</dcterms:created>
  <dcterms:modified xsi:type="dcterms:W3CDTF">2025-09-01T20:26:22Z</dcterms:modified>
</cp:coreProperties>
</file>