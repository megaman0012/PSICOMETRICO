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quezada\Desktop\"/>
    </mc:Choice>
  </mc:AlternateContent>
  <xr:revisionPtr revIDLastSave="0" documentId="13_ncr:1_{55A58634-011B-4E32-8F85-5CB4B096ABB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UADERNILLO PREGUNTAS " sheetId="1" r:id="rId1"/>
    <sheet name="EVALUACION RESULTADOS " sheetId="3" r:id="rId2"/>
    <sheet name="INFORME" sheetId="2" r:id="rId3"/>
  </sheets>
  <calcPr calcId="191029"/>
</workbook>
</file>

<file path=xl/calcChain.xml><?xml version="1.0" encoding="utf-8"?>
<calcChain xmlns="http://schemas.openxmlformats.org/spreadsheetml/2006/main">
  <c r="C9" i="2" l="1"/>
  <c r="C7" i="2"/>
  <c r="F7" i="3" l="1"/>
  <c r="F16" i="3"/>
  <c r="F15" i="3"/>
  <c r="F14" i="3"/>
  <c r="F13" i="3"/>
  <c r="F12" i="3"/>
  <c r="F11" i="3"/>
  <c r="F10" i="3"/>
  <c r="F9" i="3"/>
  <c r="F8" i="3"/>
  <c r="E26" i="3" l="1"/>
  <c r="F26" i="3" s="1"/>
  <c r="C34" i="2" s="1"/>
  <c r="E25" i="3"/>
  <c r="F25" i="3" s="1"/>
  <c r="C33" i="2" s="1"/>
  <c r="E27" i="3"/>
  <c r="F27" i="3" s="1"/>
  <c r="C35" i="2" s="1"/>
  <c r="E28" i="3"/>
  <c r="F28" i="3" s="1"/>
  <c r="C36" i="2" s="1"/>
  <c r="F17" i="3"/>
  <c r="C21" i="3" s="1"/>
  <c r="C14" i="2" l="1"/>
  <c r="C15" i="2" l="1"/>
  <c r="B45" i="2"/>
</calcChain>
</file>

<file path=xl/sharedStrings.xml><?xml version="1.0" encoding="utf-8"?>
<sst xmlns="http://schemas.openxmlformats.org/spreadsheetml/2006/main" count="115" uniqueCount="80">
  <si>
    <t>TEST DE APTITUDES COGNITIVAS - GUARDIAS DE SEGURIDAD</t>
  </si>
  <si>
    <t>Responda seleccionando la opción correcta. Duración: 10–15 minutos.</t>
  </si>
  <si>
    <t>N°</t>
  </si>
  <si>
    <t>Pregunta</t>
  </si>
  <si>
    <t>Respuesta del Candidato</t>
  </si>
  <si>
    <t>a) 45
b) 50
c) 80
d) 60</t>
  </si>
  <si>
    <t>a) Asegurar el área
b) Esperar refuerzos
c) Reportar
d) Intervenir solo</t>
  </si>
  <si>
    <t>a) Juan a veces porta radio
b) Juan no porta radio
c) Juan porta radio
d) No se sabe</t>
  </si>
  <si>
    <t>a) 04h00
b) 06h00
c) 07h00
d) 08h00</t>
  </si>
  <si>
    <t>a) Sábado
b) Domingo
c) Lunes
d) Martes</t>
  </si>
  <si>
    <t>a) Revisar el bolso
b) Reportar al supervisor
c) Ignorar
d) Esperar más tiempo</t>
  </si>
  <si>
    <t>a) 50 min
b) 60 min
c) 75 min
d) 90 min</t>
  </si>
  <si>
    <t>a) Seguridad
b) Vigilancia
c) Segurida
d) Control</t>
  </si>
  <si>
    <t>a) Radio
b) Extintor
c) Chaleco
d) Casco</t>
  </si>
  <si>
    <t>Puntaje Total:</t>
  </si>
  <si>
    <t>a) 9  
b) 10
c) 12
d) 14</t>
  </si>
  <si>
    <t>B</t>
  </si>
  <si>
    <t>C</t>
  </si>
  <si>
    <t xml:space="preserve">Puntaje </t>
  </si>
  <si>
    <t>Serie numérica: 5 – 10 – 20 – 40 – ?</t>
  </si>
  <si>
    <t xml:space="preserve">Respuesta Correcta </t>
  </si>
  <si>
    <t>Todos los guardias deben portar radio. Juan es guardia. ¿Qué afirmación es correcta?</t>
  </si>
  <si>
    <t xml:space="preserve"> LOGICA </t>
  </si>
  <si>
    <t>En caso de intruso, primero debe reportar, luego asegurar el área y esperar refuerzos'. ¿Cuál es el primer paso?</t>
  </si>
  <si>
    <t>COMPRENSION</t>
  </si>
  <si>
    <t>Si tu turno empieza a las 22h00 y trabajas 8 horas, ¿a qué hora terminas?</t>
  </si>
  <si>
    <t xml:space="preserve">ATENCION </t>
  </si>
  <si>
    <t>Si vigilas 4 cámaras y ves que en una persona deja un bolso y se va, ¿qué haces primero?</t>
  </si>
  <si>
    <t xml:space="preserve">OBSERVACION </t>
  </si>
  <si>
    <t>Un guardia hace 3 rondas de 25 minutos cada una. ¿Cuánto tiempo total vigila?</t>
  </si>
  <si>
    <t xml:space="preserve">CALCULO SIMPLE </t>
  </si>
  <si>
    <t>Atención visual: ¿Cuál palabra está mal escrita?</t>
  </si>
  <si>
    <t>ATENCION VISUAL</t>
  </si>
  <si>
    <t>Lista: Radio, Linterna, Extintor, Chaleco. ¿Qué objeto NO estaba?</t>
  </si>
  <si>
    <t xml:space="preserve">MEMORIA CORTA </t>
  </si>
  <si>
    <t xml:space="preserve">D </t>
  </si>
  <si>
    <t xml:space="preserve"> Serie numérica: 2 – 4 – 6 – 8 – ?</t>
  </si>
  <si>
    <t>D</t>
  </si>
  <si>
    <t>Lunes, miércoles, viernes… ¿qué día sigue?</t>
  </si>
  <si>
    <t>NOMBRE</t>
  </si>
  <si>
    <t xml:space="preserve">FECHA </t>
  </si>
  <si>
    <t xml:space="preserve">ANALISIS NUMERICO </t>
  </si>
  <si>
    <t>ANALISIS LOGICO</t>
  </si>
  <si>
    <t>INFORME DE RESULTADOS</t>
  </si>
  <si>
    <t>TEST DE APTITUDES COGNITIVAS</t>
  </si>
  <si>
    <t>1. Datos Generales</t>
  </si>
  <si>
    <t>Nombre del candidato:</t>
  </si>
  <si>
    <t>Cargo al que postula:</t>
  </si>
  <si>
    <t>Fecha de evaluación:</t>
  </si>
  <si>
    <t>Evaluador:</t>
  </si>
  <si>
    <t xml:space="preserve"> </t>
  </si>
  <si>
    <t>2. Resultados Cuantitativos</t>
  </si>
  <si>
    <t>Total de preguntas</t>
  </si>
  <si>
    <t>Respuestas correctas</t>
  </si>
  <si>
    <t>Puntaje (%)</t>
  </si>
  <si>
    <t>Nivel de desempeño</t>
  </si>
  <si>
    <t xml:space="preserve">GUARDIA </t>
  </si>
  <si>
    <t xml:space="preserve">PS. ADRIANA MORENO </t>
  </si>
  <si>
    <t>3. Análisis por Competencia Cognitiva</t>
  </si>
  <si>
    <t>Área Evaluada</t>
  </si>
  <si>
    <t>Preguntas Asociadas</t>
  </si>
  <si>
    <t>Resultado</t>
  </si>
  <si>
    <t>Razonamiento lógico</t>
  </si>
  <si>
    <t>1, 2, 4, 6</t>
  </si>
  <si>
    <t>Comprensión de instrucciones</t>
  </si>
  <si>
    <t>3, 5</t>
  </si>
  <si>
    <t>Atención / Observación</t>
  </si>
  <si>
    <t>7, 9</t>
  </si>
  <si>
    <t>Memoria / Cálculo</t>
  </si>
  <si>
    <t>8, 10</t>
  </si>
  <si>
    <t xml:space="preserve">ANALISIS X COMPETENCIA </t>
  </si>
  <si>
    <t>RESULTADO</t>
  </si>
  <si>
    <t>%</t>
  </si>
  <si>
    <t xml:space="preserve">Resultado </t>
  </si>
  <si>
    <t>Alexandra Arteaga</t>
  </si>
  <si>
    <t xml:space="preserve">EVALUACION DE RESULTADOS </t>
  </si>
  <si>
    <t>5. Conclusión</t>
  </si>
  <si>
    <t>4. Interpretación de Resultados</t>
  </si>
  <si>
    <t xml:space="preserve">APTO </t>
  </si>
  <si>
    <t>El candidato presenta buenas habilidades cognitivas, comprendiendo instrucciones y resolviendo problemas de manera adecuada. Se considera APTO para desempeñar el rol de Guardia de Seguridad con un rendimiento esperado.”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</si>
</sst>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1D35"/>
      <name val="Courier New"/>
      <family val="3"/>
    </font>
    <font>
      <b/>
      <i/>
      <sz val="11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b/>
      <sz val="13"/>
      <color rgb="FF4F81BD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libri"/>
      <family val="2"/>
      <scheme val="minor"/>
    </font>
    <font>
      <i/>
      <sz val="11"/>
      <color theme="1"/>
      <name val="Cambria"/>
      <family val="1"/>
    </font>
    <font>
      <i/>
      <sz val="10"/>
      <color theme="1"/>
      <name val="Cambria"/>
      <family val="1"/>
    </font>
    <font>
      <b/>
      <i/>
      <sz val="10"/>
      <color theme="1"/>
      <name val="Cambria"/>
      <family val="1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2" fillId="0" borderId="0" xfId="0" applyFont="1"/>
    <xf numFmtId="0" fontId="2" fillId="0" borderId="0" xfId="0" applyFont="1" applyAlignment="1">
      <alignment horizontal="center" wrapText="1"/>
    </xf>
    <xf numFmtId="0" fontId="0" fillId="0" borderId="7" xfId="0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9" xfId="0" applyBorder="1"/>
    <xf numFmtId="0" fontId="0" fillId="0" borderId="10" xfId="0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9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0" fillId="0" borderId="0" xfId="1" applyNumberFormat="1" applyFont="1" applyBorder="1" applyAlignment="1">
      <alignment horizontal="center"/>
    </xf>
    <xf numFmtId="49" fontId="11" fillId="3" borderId="0" xfId="0" applyNumberFormat="1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9" fontId="9" fillId="0" borderId="1" xfId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9" fontId="9" fillId="0" borderId="0" xfId="0" applyNumberFormat="1" applyFont="1" applyAlignment="1">
      <alignment horizontal="center" vertical="center" wrapText="1"/>
    </xf>
    <xf numFmtId="0" fontId="0" fillId="0" borderId="4" xfId="0" applyBorder="1"/>
    <xf numFmtId="0" fontId="0" fillId="0" borderId="6" xfId="0" applyBorder="1" applyAlignment="1">
      <alignment horizontal="center"/>
    </xf>
    <xf numFmtId="0" fontId="7" fillId="0" borderId="7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0" fillId="0" borderId="10" xfId="0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14" fontId="12" fillId="0" borderId="1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6" fillId="0" borderId="0" xfId="0" applyFont="1"/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left" wrapText="1"/>
    </xf>
    <xf numFmtId="0" fontId="4" fillId="3" borderId="8" xfId="0" applyFont="1" applyFill="1" applyBorder="1" applyAlignment="1">
      <alignment horizontal="left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'EVALUACION RESULTADOS '!$F$24</c:f>
              <c:strCache>
                <c:ptCount val="1"/>
                <c:pt idx="0">
                  <c:v>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23C-4792-A331-C74D711D6E3C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023C-4792-A331-C74D711D6E3C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23C-4792-A331-C74D711D6E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'EVALUACION RESULTADOS '!$C$25:$C$28</c:f>
              <c:strCache>
                <c:ptCount val="4"/>
                <c:pt idx="0">
                  <c:v>Razonamiento lógico</c:v>
                </c:pt>
                <c:pt idx="1">
                  <c:v>Comprensión de instrucciones</c:v>
                </c:pt>
                <c:pt idx="2">
                  <c:v>Atención / Observación</c:v>
                </c:pt>
                <c:pt idx="3">
                  <c:v>Memoria / Cálculo</c:v>
                </c:pt>
              </c:strCache>
            </c:strRef>
          </c:cat>
          <c:val>
            <c:numRef>
              <c:f>'EVALUACION RESULTADOS '!$F$25:$F$28</c:f>
              <c:numCache>
                <c:formatCode>0%</c:formatCode>
                <c:ptCount val="4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C-4792-A331-C74D711D6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26523968"/>
        <c:axId val="626525048"/>
      </c:barChart>
      <c:catAx>
        <c:axId val="62652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26525048"/>
        <c:crosses val="autoZero"/>
        <c:auto val="1"/>
        <c:lblAlgn val="ctr"/>
        <c:lblOffset val="100"/>
        <c:noMultiLvlLbl val="0"/>
      </c:catAx>
      <c:valAx>
        <c:axId val="6265250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2652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 Evaluada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INFORME!$C$32</c:f>
              <c:strCache>
                <c:ptCount val="1"/>
                <c:pt idx="0">
                  <c:v>Resultado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B8-4F88-8F6E-35A7A208146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0B8-4F88-8F6E-35A7A2081467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B8-4F88-8F6E-35A7A208146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0B8-4F88-8F6E-35A7A20814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INFORME!$B$33:$B$36</c:f>
              <c:strCache>
                <c:ptCount val="4"/>
                <c:pt idx="0">
                  <c:v>Razonamiento lógico</c:v>
                </c:pt>
                <c:pt idx="1">
                  <c:v>Comprensión de instrucciones</c:v>
                </c:pt>
                <c:pt idx="2">
                  <c:v>Atención / Observación</c:v>
                </c:pt>
                <c:pt idx="3">
                  <c:v>Memoria / Cálculo</c:v>
                </c:pt>
              </c:strCache>
            </c:strRef>
          </c:cat>
          <c:val>
            <c:numRef>
              <c:f>INFORME!$C$33:$C$36</c:f>
              <c:numCache>
                <c:formatCode>0%</c:formatCode>
                <c:ptCount val="4"/>
                <c:pt idx="0">
                  <c:v>0.3</c:v>
                </c:pt>
                <c:pt idx="1">
                  <c:v>0.2</c:v>
                </c:pt>
                <c:pt idx="2">
                  <c:v>0.1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8-4F88-8F6E-35A7A2081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8948960"/>
        <c:axId val="1128943920"/>
      </c:barChart>
      <c:catAx>
        <c:axId val="112894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28943920"/>
        <c:crosses val="autoZero"/>
        <c:auto val="1"/>
        <c:lblAlgn val="ctr"/>
        <c:lblOffset val="100"/>
        <c:noMultiLvlLbl val="0"/>
      </c:catAx>
      <c:valAx>
        <c:axId val="11289439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2894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3500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3333750</xdr:colOff>
      <xdr:row>1</xdr:row>
      <xdr:rowOff>185202</xdr:rowOff>
    </xdr:from>
    <xdr:to>
      <xdr:col>3</xdr:col>
      <xdr:colOff>133350</xdr:colOff>
      <xdr:row>2</xdr:row>
      <xdr:rowOff>79375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6D47FB-D9CA-1F80-5661-27D9C156D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366177"/>
          <a:ext cx="1543050" cy="427573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1</xdr:row>
      <xdr:rowOff>114300</xdr:rowOff>
    </xdr:from>
    <xdr:to>
      <xdr:col>1</xdr:col>
      <xdr:colOff>581025</xdr:colOff>
      <xdr:row>2</xdr:row>
      <xdr:rowOff>203547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A452BF-6E92-5117-841C-CB2C8B5F3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1" y="295275"/>
          <a:ext cx="1038224" cy="62264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29</xdr:row>
      <xdr:rowOff>9525</xdr:rowOff>
    </xdr:from>
    <xdr:to>
      <xdr:col>5</xdr:col>
      <xdr:colOff>523875</xdr:colOff>
      <xdr:row>42</xdr:row>
      <xdr:rowOff>4761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82F496-8F4E-1732-A7A6-8F8B49568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16</xdr:row>
      <xdr:rowOff>161925</xdr:rowOff>
    </xdr:from>
    <xdr:to>
      <xdr:col>2</xdr:col>
      <xdr:colOff>1885948</xdr:colOff>
      <xdr:row>27</xdr:row>
      <xdr:rowOff>104775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39E68A4-75A0-40EE-230E-981151978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762001</xdr:colOff>
      <xdr:row>0</xdr:row>
      <xdr:rowOff>104775</xdr:rowOff>
    </xdr:from>
    <xdr:to>
      <xdr:col>3</xdr:col>
      <xdr:colOff>1</xdr:colOff>
      <xdr:row>1</xdr:row>
      <xdr:rowOff>335616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29B42D1-A9C7-F358-D5DB-3E542378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76" y="104775"/>
          <a:ext cx="1524000" cy="421341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0</xdr:row>
      <xdr:rowOff>10485</xdr:rowOff>
    </xdr:from>
    <xdr:to>
      <xdr:col>1</xdr:col>
      <xdr:colOff>971550</xdr:colOff>
      <xdr:row>1</xdr:row>
      <xdr:rowOff>396690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1599514-67DC-4EF9-C4D3-950E3B921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1" y="10485"/>
          <a:ext cx="962024" cy="576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showGridLines="0" workbookViewId="0">
      <selection activeCell="G5" sqref="G5"/>
    </sheetView>
  </sheetViews>
  <sheetFormatPr baseColWidth="10" defaultColWidth="9.140625" defaultRowHeight="15" x14ac:dyDescent="0.25"/>
  <cols>
    <col min="1" max="1" width="10" style="1" customWidth="1"/>
    <col min="2" max="2" width="62.28515625" customWidth="1"/>
    <col min="3" max="3" width="8.85546875" customWidth="1"/>
    <col min="4" max="4" width="3.42578125" customWidth="1"/>
    <col min="5" max="5" width="5.5703125" customWidth="1"/>
  </cols>
  <sheetData>
    <row r="1" spans="1:5" ht="14.25" customHeight="1" x14ac:dyDescent="0.25"/>
    <row r="2" spans="1:5" ht="42" customHeight="1" x14ac:dyDescent="0.25">
      <c r="A2" s="28"/>
      <c r="B2" s="12"/>
      <c r="C2" s="12"/>
      <c r="D2" s="13"/>
    </row>
    <row r="3" spans="1:5" ht="29.25" customHeight="1" x14ac:dyDescent="0.3">
      <c r="A3" s="75" t="s">
        <v>0</v>
      </c>
      <c r="B3" s="76"/>
      <c r="C3" s="76"/>
      <c r="D3" s="29"/>
      <c r="E3" s="27"/>
    </row>
    <row r="4" spans="1:5" ht="40.5" customHeight="1" x14ac:dyDescent="0.35">
      <c r="A4" s="25" t="s">
        <v>39</v>
      </c>
      <c r="B4" s="68" t="s">
        <v>74</v>
      </c>
      <c r="C4" s="1"/>
      <c r="D4" s="26"/>
      <c r="E4" s="1"/>
    </row>
    <row r="5" spans="1:5" ht="29.25" customHeight="1" x14ac:dyDescent="0.25">
      <c r="A5" s="25" t="s">
        <v>40</v>
      </c>
      <c r="B5" s="69">
        <v>45901</v>
      </c>
      <c r="D5" s="15"/>
    </row>
    <row r="6" spans="1:5" ht="18" customHeight="1" x14ac:dyDescent="0.25">
      <c r="A6" s="14"/>
      <c r="D6" s="15"/>
    </row>
    <row r="7" spans="1:5" x14ac:dyDescent="0.25">
      <c r="A7" s="73" t="s">
        <v>1</v>
      </c>
      <c r="B7" s="74"/>
      <c r="D7" s="15"/>
    </row>
    <row r="8" spans="1:5" x14ac:dyDescent="0.25">
      <c r="A8" s="14"/>
      <c r="D8" s="15"/>
    </row>
    <row r="9" spans="1:5" ht="51" customHeight="1" x14ac:dyDescent="0.25">
      <c r="A9" s="23" t="s">
        <v>2</v>
      </c>
      <c r="B9" s="16" t="s">
        <v>3</v>
      </c>
      <c r="C9" s="71" t="s">
        <v>4</v>
      </c>
      <c r="D9" s="72"/>
      <c r="E9" s="17"/>
    </row>
    <row r="10" spans="1:5" x14ac:dyDescent="0.25">
      <c r="A10" s="23"/>
      <c r="B10" s="16"/>
      <c r="D10" s="15"/>
    </row>
    <row r="11" spans="1:5" x14ac:dyDescent="0.25">
      <c r="A11" s="25">
        <v>1</v>
      </c>
      <c r="B11" s="7" t="s">
        <v>36</v>
      </c>
      <c r="D11" s="15"/>
    </row>
    <row r="12" spans="1:5" x14ac:dyDescent="0.25">
      <c r="A12" s="14"/>
      <c r="D12" s="15"/>
    </row>
    <row r="13" spans="1:5" ht="60" x14ac:dyDescent="0.25">
      <c r="A13" s="14"/>
      <c r="B13" s="19" t="s">
        <v>15</v>
      </c>
      <c r="C13" s="41" t="s">
        <v>16</v>
      </c>
      <c r="D13" s="15"/>
      <c r="E13" s="1"/>
    </row>
    <row r="14" spans="1:5" x14ac:dyDescent="0.25">
      <c r="A14" s="14"/>
      <c r="D14" s="15"/>
    </row>
    <row r="15" spans="1:5" x14ac:dyDescent="0.25">
      <c r="A15" s="25">
        <v>2</v>
      </c>
      <c r="B15" s="7" t="s">
        <v>19</v>
      </c>
      <c r="D15" s="15"/>
    </row>
    <row r="16" spans="1:5" x14ac:dyDescent="0.25">
      <c r="A16" s="14"/>
      <c r="D16" s="15"/>
    </row>
    <row r="17" spans="1:4" ht="60" x14ac:dyDescent="0.25">
      <c r="A17" s="14"/>
      <c r="B17" s="19" t="s">
        <v>5</v>
      </c>
      <c r="C17" s="41" t="s">
        <v>16</v>
      </c>
      <c r="D17" s="15"/>
    </row>
    <row r="18" spans="1:4" x14ac:dyDescent="0.25">
      <c r="A18" s="14"/>
      <c r="B18" s="19"/>
      <c r="C18" s="42"/>
      <c r="D18" s="15"/>
    </row>
    <row r="19" spans="1:4" ht="30" x14ac:dyDescent="0.25">
      <c r="A19" s="25">
        <v>3</v>
      </c>
      <c r="B19" s="20" t="s">
        <v>23</v>
      </c>
      <c r="D19" s="15"/>
    </row>
    <row r="20" spans="1:4" x14ac:dyDescent="0.25">
      <c r="A20" s="14"/>
      <c r="D20" s="15"/>
    </row>
    <row r="21" spans="1:4" ht="60" x14ac:dyDescent="0.25">
      <c r="A21" s="14"/>
      <c r="B21" s="19" t="s">
        <v>6</v>
      </c>
      <c r="C21" s="41" t="s">
        <v>17</v>
      </c>
      <c r="D21" s="15"/>
    </row>
    <row r="22" spans="1:4" x14ac:dyDescent="0.25">
      <c r="A22" s="14"/>
      <c r="B22" s="19"/>
      <c r="D22" s="15"/>
    </row>
    <row r="23" spans="1:4" ht="30" x14ac:dyDescent="0.25">
      <c r="A23" s="25">
        <v>4</v>
      </c>
      <c r="B23" s="20" t="s">
        <v>21</v>
      </c>
      <c r="D23" s="15"/>
    </row>
    <row r="24" spans="1:4" x14ac:dyDescent="0.25">
      <c r="A24" s="14"/>
      <c r="D24" s="15"/>
    </row>
    <row r="25" spans="1:4" ht="60" x14ac:dyDescent="0.25">
      <c r="A25" s="14"/>
      <c r="B25" s="19" t="s">
        <v>7</v>
      </c>
      <c r="C25" s="41" t="s">
        <v>17</v>
      </c>
      <c r="D25" s="15"/>
    </row>
    <row r="26" spans="1:4" x14ac:dyDescent="0.25">
      <c r="A26" s="11"/>
      <c r="B26" s="10"/>
      <c r="C26" s="10"/>
      <c r="D26" s="10"/>
    </row>
    <row r="29" spans="1:4" ht="30" x14ac:dyDescent="0.25">
      <c r="A29" s="31">
        <v>5</v>
      </c>
      <c r="B29" s="32" t="s">
        <v>25</v>
      </c>
      <c r="C29" s="12"/>
      <c r="D29" s="13"/>
    </row>
    <row r="30" spans="1:4" x14ac:dyDescent="0.25">
      <c r="A30" s="14"/>
      <c r="D30" s="15"/>
    </row>
    <row r="31" spans="1:4" ht="60" x14ac:dyDescent="0.25">
      <c r="A31" s="14"/>
      <c r="B31" s="19" t="s">
        <v>8</v>
      </c>
      <c r="C31" s="41" t="s">
        <v>16</v>
      </c>
      <c r="D31" s="15"/>
    </row>
    <row r="32" spans="1:4" x14ac:dyDescent="0.25">
      <c r="A32" s="14"/>
      <c r="D32" s="15"/>
    </row>
    <row r="33" spans="1:4" x14ac:dyDescent="0.25">
      <c r="A33" s="25">
        <v>6</v>
      </c>
      <c r="B33" s="7" t="s">
        <v>38</v>
      </c>
      <c r="D33" s="15"/>
    </row>
    <row r="34" spans="1:4" x14ac:dyDescent="0.25">
      <c r="A34" s="14"/>
      <c r="D34" s="15"/>
    </row>
    <row r="35" spans="1:4" ht="60" x14ac:dyDescent="0.25">
      <c r="A35" s="14"/>
      <c r="B35" s="19" t="s">
        <v>9</v>
      </c>
      <c r="C35" s="41" t="s">
        <v>17</v>
      </c>
      <c r="D35" s="15"/>
    </row>
    <row r="36" spans="1:4" x14ac:dyDescent="0.25">
      <c r="A36" s="14"/>
      <c r="D36" s="15"/>
    </row>
    <row r="37" spans="1:4" ht="30" x14ac:dyDescent="0.25">
      <c r="A37" s="25">
        <v>7</v>
      </c>
      <c r="B37" s="20" t="s">
        <v>27</v>
      </c>
      <c r="D37" s="15"/>
    </row>
    <row r="38" spans="1:4" x14ac:dyDescent="0.25">
      <c r="A38" s="14"/>
      <c r="D38" s="15"/>
    </row>
    <row r="39" spans="1:4" ht="60" x14ac:dyDescent="0.25">
      <c r="A39" s="14"/>
      <c r="B39" s="19" t="s">
        <v>10</v>
      </c>
      <c r="C39" s="41" t="s">
        <v>17</v>
      </c>
      <c r="D39" s="15"/>
    </row>
    <row r="40" spans="1:4" x14ac:dyDescent="0.25">
      <c r="A40" s="14"/>
      <c r="D40" s="15"/>
    </row>
    <row r="41" spans="1:4" x14ac:dyDescent="0.25">
      <c r="A41" s="14">
        <v>8</v>
      </c>
      <c r="B41" t="s">
        <v>29</v>
      </c>
      <c r="D41" s="15"/>
    </row>
    <row r="42" spans="1:4" x14ac:dyDescent="0.25">
      <c r="A42" s="14"/>
      <c r="D42" s="15"/>
    </row>
    <row r="43" spans="1:4" ht="60" x14ac:dyDescent="0.25">
      <c r="A43" s="14"/>
      <c r="B43" s="19" t="s">
        <v>11</v>
      </c>
      <c r="C43" s="41" t="s">
        <v>17</v>
      </c>
      <c r="D43" s="15"/>
    </row>
    <row r="44" spans="1:4" x14ac:dyDescent="0.25">
      <c r="A44" s="14"/>
      <c r="B44" s="19"/>
      <c r="D44" s="15"/>
    </row>
    <row r="45" spans="1:4" x14ac:dyDescent="0.25">
      <c r="A45" s="14">
        <v>9</v>
      </c>
      <c r="B45" t="s">
        <v>31</v>
      </c>
      <c r="D45" s="15"/>
    </row>
    <row r="46" spans="1:4" x14ac:dyDescent="0.25">
      <c r="A46" s="14"/>
      <c r="D46" s="15"/>
    </row>
    <row r="47" spans="1:4" ht="60" x14ac:dyDescent="0.25">
      <c r="A47" s="14"/>
      <c r="B47" s="19" t="s">
        <v>12</v>
      </c>
      <c r="C47" s="41" t="s">
        <v>17</v>
      </c>
      <c r="D47" s="15"/>
    </row>
    <row r="48" spans="1:4" x14ac:dyDescent="0.25">
      <c r="A48" s="14"/>
      <c r="D48" s="15"/>
    </row>
    <row r="49" spans="1:4" x14ac:dyDescent="0.25">
      <c r="A49" s="14">
        <v>10</v>
      </c>
      <c r="B49" t="s">
        <v>33</v>
      </c>
      <c r="D49" s="15"/>
    </row>
    <row r="50" spans="1:4" x14ac:dyDescent="0.25">
      <c r="A50" s="14"/>
      <c r="D50" s="15"/>
    </row>
    <row r="51" spans="1:4" ht="60" x14ac:dyDescent="0.25">
      <c r="A51" s="14"/>
      <c r="B51" s="19" t="s">
        <v>13</v>
      </c>
      <c r="C51" s="41" t="s">
        <v>37</v>
      </c>
      <c r="D51" s="15"/>
    </row>
    <row r="52" spans="1:4" x14ac:dyDescent="0.25">
      <c r="A52" s="14"/>
      <c r="D52" s="15"/>
    </row>
    <row r="53" spans="1:4" x14ac:dyDescent="0.25">
      <c r="A53" s="30"/>
      <c r="B53" s="10"/>
      <c r="C53" s="10"/>
      <c r="D53" s="22"/>
    </row>
  </sheetData>
  <mergeCells count="3">
    <mergeCell ref="C9:D9"/>
    <mergeCell ref="A7:B7"/>
    <mergeCell ref="A3:C3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DEC7-DD59-4ABC-BABF-57D69F01BC4B}">
  <dimension ref="B3:J28"/>
  <sheetViews>
    <sheetView showGridLines="0" topLeftCell="A37" workbookViewId="0">
      <selection activeCell="C45" sqref="C45"/>
    </sheetView>
  </sheetViews>
  <sheetFormatPr baseColWidth="10" defaultRowHeight="15" x14ac:dyDescent="0.25"/>
  <cols>
    <col min="1" max="1" width="2.7109375" customWidth="1"/>
    <col min="2" max="2" width="5" customWidth="1"/>
    <col min="3" max="3" width="28.28515625" customWidth="1"/>
    <col min="4" max="4" width="17.42578125" style="1" customWidth="1"/>
    <col min="5" max="5" width="11.28515625" customWidth="1"/>
    <col min="6" max="6" width="10.7109375" style="1" customWidth="1"/>
    <col min="7" max="7" width="4.85546875" style="1" customWidth="1"/>
    <col min="8" max="8" width="11.85546875" bestFit="1" customWidth="1"/>
  </cols>
  <sheetData>
    <row r="3" spans="2:10" ht="18.75" x14ac:dyDescent="0.25">
      <c r="C3" s="78" t="s">
        <v>75</v>
      </c>
      <c r="D3" s="78"/>
      <c r="E3" s="78"/>
      <c r="F3" s="78"/>
    </row>
    <row r="4" spans="2:10" ht="24.75" customHeight="1" x14ac:dyDescent="0.25">
      <c r="C4" s="78" t="s">
        <v>44</v>
      </c>
      <c r="D4" s="78"/>
      <c r="E4" s="78"/>
      <c r="F4" s="78"/>
    </row>
    <row r="5" spans="2:10" x14ac:dyDescent="0.25">
      <c r="E5" s="1"/>
      <c r="J5" s="2"/>
    </row>
    <row r="6" spans="2:10" ht="30" x14ac:dyDescent="0.25">
      <c r="B6" s="6" t="s">
        <v>2</v>
      </c>
      <c r="C6" s="4"/>
      <c r="D6" s="5" t="s">
        <v>4</v>
      </c>
      <c r="E6" s="5" t="s">
        <v>20</v>
      </c>
      <c r="F6" s="6" t="s">
        <v>18</v>
      </c>
      <c r="G6" s="24"/>
    </row>
    <row r="7" spans="2:10" x14ac:dyDescent="0.25">
      <c r="B7" s="8">
        <v>1</v>
      </c>
      <c r="C7" s="9" t="s">
        <v>41</v>
      </c>
      <c r="D7" s="8" t="s">
        <v>16</v>
      </c>
      <c r="E7" s="8" t="s">
        <v>16</v>
      </c>
      <c r="F7" s="43">
        <f>IF(ISNUMBER(SEARCH("B",D7)),1,0)</f>
        <v>1</v>
      </c>
      <c r="G7" s="45"/>
    </row>
    <row r="8" spans="2:10" x14ac:dyDescent="0.25">
      <c r="B8" s="8">
        <v>2</v>
      </c>
      <c r="C8" s="9" t="s">
        <v>41</v>
      </c>
      <c r="D8" s="44" t="s">
        <v>16</v>
      </c>
      <c r="E8" s="8" t="s">
        <v>17</v>
      </c>
      <c r="F8" s="43">
        <f>IF(ISNUMBER(SEARCH("C",D8)),1,0)</f>
        <v>0</v>
      </c>
      <c r="G8" s="45"/>
    </row>
    <row r="9" spans="2:10" x14ac:dyDescent="0.25">
      <c r="B9" s="8">
        <v>3</v>
      </c>
      <c r="C9" s="9" t="s">
        <v>24</v>
      </c>
      <c r="D9" s="8" t="s">
        <v>17</v>
      </c>
      <c r="E9" s="8" t="s">
        <v>17</v>
      </c>
      <c r="F9" s="43">
        <f>IF(ISNUMBER(SEARCH("C",D9)),1,0)</f>
        <v>1</v>
      </c>
      <c r="G9" s="45"/>
    </row>
    <row r="10" spans="2:10" x14ac:dyDescent="0.25">
      <c r="B10" s="8">
        <v>4</v>
      </c>
      <c r="C10" s="9" t="s">
        <v>22</v>
      </c>
      <c r="D10" s="8" t="s">
        <v>17</v>
      </c>
      <c r="E10" s="8" t="s">
        <v>17</v>
      </c>
      <c r="F10" s="43">
        <f>IF(ISNUMBER(SEARCH("C",D10)),1,0)</f>
        <v>1</v>
      </c>
      <c r="G10" s="45"/>
      <c r="H10" s="37"/>
    </row>
    <row r="11" spans="2:10" x14ac:dyDescent="0.25">
      <c r="B11" s="8">
        <v>5</v>
      </c>
      <c r="C11" s="9" t="s">
        <v>26</v>
      </c>
      <c r="D11" s="8" t="s">
        <v>16</v>
      </c>
      <c r="E11" s="8" t="s">
        <v>16</v>
      </c>
      <c r="F11" s="43">
        <f>IF(ISNUMBER(SEARCH("B",D11)),1,0)</f>
        <v>1</v>
      </c>
      <c r="G11" s="45"/>
    </row>
    <row r="12" spans="2:10" x14ac:dyDescent="0.25">
      <c r="B12" s="8">
        <v>6</v>
      </c>
      <c r="C12" s="9" t="s">
        <v>42</v>
      </c>
      <c r="D12" s="8" t="s">
        <v>17</v>
      </c>
      <c r="E12" s="8" t="s">
        <v>17</v>
      </c>
      <c r="F12" s="43">
        <f>IF(ISNUMBER(SEARCH("C",D12)),1,0)</f>
        <v>1</v>
      </c>
      <c r="G12" s="45"/>
    </row>
    <row r="13" spans="2:10" x14ac:dyDescent="0.25">
      <c r="B13" s="8">
        <v>7</v>
      </c>
      <c r="C13" s="9" t="s">
        <v>28</v>
      </c>
      <c r="D13" s="8" t="s">
        <v>17</v>
      </c>
      <c r="E13" s="8" t="s">
        <v>16</v>
      </c>
      <c r="F13" s="43">
        <f>IF(ISNUMBER(SEARCH("B",D13)),1,0)</f>
        <v>0</v>
      </c>
      <c r="G13" s="45"/>
    </row>
    <row r="14" spans="2:10" x14ac:dyDescent="0.25">
      <c r="B14" s="8">
        <v>8</v>
      </c>
      <c r="C14" s="9" t="s">
        <v>30</v>
      </c>
      <c r="D14" s="8" t="s">
        <v>17</v>
      </c>
      <c r="E14" s="8" t="s">
        <v>17</v>
      </c>
      <c r="F14" s="43">
        <f>IF(ISNUMBER(SEARCH("C",D14)),1,0)</f>
        <v>1</v>
      </c>
      <c r="G14" s="45"/>
    </row>
    <row r="15" spans="2:10" x14ac:dyDescent="0.25">
      <c r="B15" s="8">
        <v>9</v>
      </c>
      <c r="C15" s="9" t="s">
        <v>32</v>
      </c>
      <c r="D15" s="8" t="s">
        <v>17</v>
      </c>
      <c r="E15" s="8" t="s">
        <v>17</v>
      </c>
      <c r="F15" s="43">
        <f>IF(ISNUMBER(SEARCH("C",D15)),1,0)</f>
        <v>1</v>
      </c>
      <c r="G15" s="45"/>
    </row>
    <row r="16" spans="2:10" x14ac:dyDescent="0.25">
      <c r="B16" s="8">
        <v>10</v>
      </c>
      <c r="C16" s="9" t="s">
        <v>34</v>
      </c>
      <c r="D16" s="8" t="s">
        <v>37</v>
      </c>
      <c r="E16" s="8" t="s">
        <v>35</v>
      </c>
      <c r="F16" s="43">
        <f>IF(ISNUMBER(SEARCH("D",D16)),1,0)</f>
        <v>1</v>
      </c>
      <c r="G16" s="45"/>
    </row>
    <row r="17" spans="3:7" ht="15.75" x14ac:dyDescent="0.25">
      <c r="D17" s="3" t="s">
        <v>14</v>
      </c>
      <c r="F17" s="46">
        <f>SUM(F7:F16)</f>
        <v>8</v>
      </c>
      <c r="G17" s="45"/>
    </row>
    <row r="19" spans="3:7" ht="18.75" x14ac:dyDescent="0.25">
      <c r="C19" s="33" t="s">
        <v>71</v>
      </c>
    </row>
    <row r="20" spans="3:7" ht="12.75" customHeight="1" x14ac:dyDescent="0.25">
      <c r="C20" s="33"/>
    </row>
    <row r="21" spans="3:7" ht="45" customHeight="1" x14ac:dyDescent="0.25">
      <c r="C21" s="77" t="str">
        <f>IF(F17&gt;=8,"Muy Apto: El candidato demuestra nivel de razonamiento lógico, atención y memoria. Interpreta instrucciones con rapidez, mantiene concentración y comete muy pocos errores.",IF(F17&gt;=5,"Apto: El candidato posee buenas aptitudes cognitivas, con capacidad para resolver problemas y seguir instrucciones, aunque puede requerir refuerzo en situaciones de alta presión.","No Apto: El candidato evidencia dificultades significativas en atención, comprensión y razonamiento lógico, lo que puede afectar su desempeño en funciones de seguridad."))</f>
        <v>Muy Apto: El candidato demuestra nivel de razonamiento lógico, atención y memoria. Interpreta instrucciones con rapidez, mantiene concentración y comete muy pocos errores.</v>
      </c>
      <c r="D21" s="77"/>
      <c r="E21" s="77"/>
      <c r="F21" s="77"/>
    </row>
    <row r="22" spans="3:7" x14ac:dyDescent="0.25">
      <c r="C22" s="7"/>
    </row>
    <row r="23" spans="3:7" x14ac:dyDescent="0.25">
      <c r="C23" s="7" t="s">
        <v>70</v>
      </c>
    </row>
    <row r="24" spans="3:7" ht="28.5" x14ac:dyDescent="0.25">
      <c r="C24" s="39" t="s">
        <v>59</v>
      </c>
      <c r="D24" s="39" t="s">
        <v>60</v>
      </c>
      <c r="E24" s="39" t="s">
        <v>61</v>
      </c>
      <c r="F24" s="47" t="s">
        <v>72</v>
      </c>
    </row>
    <row r="25" spans="3:7" ht="18.75" customHeight="1" x14ac:dyDescent="0.25">
      <c r="C25" s="34" t="s">
        <v>62</v>
      </c>
      <c r="D25" s="34" t="s">
        <v>63</v>
      </c>
      <c r="E25" s="38">
        <f>SUM(F7,F8,F10,F12)</f>
        <v>3</v>
      </c>
      <c r="F25" s="48">
        <f>E25/10</f>
        <v>0.3</v>
      </c>
    </row>
    <row r="26" spans="3:7" ht="16.5" customHeight="1" x14ac:dyDescent="0.25">
      <c r="C26" s="34" t="s">
        <v>64</v>
      </c>
      <c r="D26" s="34" t="s">
        <v>65</v>
      </c>
      <c r="E26" s="38">
        <f>SUM(F9,F11)</f>
        <v>2</v>
      </c>
      <c r="F26" s="48">
        <f t="shared" ref="F26:F28" si="0">E26/10</f>
        <v>0.2</v>
      </c>
    </row>
    <row r="27" spans="3:7" x14ac:dyDescent="0.25">
      <c r="C27" s="34" t="s">
        <v>66</v>
      </c>
      <c r="D27" s="34" t="s">
        <v>67</v>
      </c>
      <c r="E27" s="38">
        <f>SUM(F13,F15)</f>
        <v>1</v>
      </c>
      <c r="F27" s="48">
        <f t="shared" si="0"/>
        <v>0.1</v>
      </c>
    </row>
    <row r="28" spans="3:7" x14ac:dyDescent="0.25">
      <c r="C28" s="34" t="s">
        <v>68</v>
      </c>
      <c r="D28" s="34" t="s">
        <v>69</v>
      </c>
      <c r="E28" s="38">
        <f>SUM(F14,F16)</f>
        <v>2</v>
      </c>
      <c r="F28" s="48">
        <f t="shared" si="0"/>
        <v>0.2</v>
      </c>
    </row>
  </sheetData>
  <mergeCells count="3">
    <mergeCell ref="C21:F21"/>
    <mergeCell ref="C3:F3"/>
    <mergeCell ref="C4:F4"/>
  </mergeCells>
  <pageMargins left="0.7" right="0.7" top="0.75" bottom="0.75" header="0.3" footer="0.3"/>
  <pageSetup paperSize="9" orientation="portrait" r:id="rId1"/>
  <ignoredErrors>
    <ignoredError sqref="F11:F13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39CC-4CC4-4FBC-B48F-0D16C96DFC08}">
  <dimension ref="B2:H82"/>
  <sheetViews>
    <sheetView showGridLines="0" tabSelected="1" topLeftCell="B1" workbookViewId="0">
      <selection activeCell="B83" sqref="B83:B85"/>
    </sheetView>
  </sheetViews>
  <sheetFormatPr baseColWidth="10" defaultRowHeight="15" x14ac:dyDescent="0.25"/>
  <cols>
    <col min="1" max="1" width="5" customWidth="1"/>
    <col min="2" max="2" width="37.140625" customWidth="1"/>
    <col min="3" max="3" width="34.28515625" style="1" customWidth="1"/>
    <col min="4" max="4" width="5" style="1" customWidth="1"/>
    <col min="5" max="5" width="11.42578125" style="1" customWidth="1"/>
  </cols>
  <sheetData>
    <row r="2" spans="2:7" ht="36" customHeight="1" x14ac:dyDescent="0.25"/>
    <row r="3" spans="2:7" x14ac:dyDescent="0.25">
      <c r="B3" s="57"/>
      <c r="C3" s="58"/>
    </row>
    <row r="4" spans="2:7" ht="18.75" x14ac:dyDescent="0.25">
      <c r="B4" s="81" t="s">
        <v>43</v>
      </c>
      <c r="C4" s="82"/>
    </row>
    <row r="5" spans="2:7" ht="24.75" customHeight="1" x14ac:dyDescent="0.25">
      <c r="B5" s="81" t="s">
        <v>44</v>
      </c>
      <c r="C5" s="82"/>
    </row>
    <row r="6" spans="2:7" ht="24.75" customHeight="1" x14ac:dyDescent="0.25">
      <c r="B6" s="60" t="s">
        <v>45</v>
      </c>
      <c r="C6" s="26"/>
    </row>
    <row r="7" spans="2:7" ht="20.25" customHeight="1" x14ac:dyDescent="0.25">
      <c r="B7" s="61" t="s">
        <v>46</v>
      </c>
      <c r="C7" s="67" t="str">
        <f>'CUADERNILLO PREGUNTAS '!B4</f>
        <v>Alexandra Arteaga</v>
      </c>
      <c r="D7" s="35"/>
    </row>
    <row r="8" spans="2:7" ht="21.75" customHeight="1" x14ac:dyDescent="0.25">
      <c r="B8" s="61" t="s">
        <v>47</v>
      </c>
      <c r="C8" s="66" t="s">
        <v>56</v>
      </c>
      <c r="D8" s="40"/>
    </row>
    <row r="9" spans="2:7" ht="19.5" customHeight="1" x14ac:dyDescent="0.25">
      <c r="B9" s="61" t="s">
        <v>48</v>
      </c>
      <c r="C9" s="70">
        <f>'CUADERNILLO PREGUNTAS '!B5</f>
        <v>45901</v>
      </c>
      <c r="D9" s="35"/>
    </row>
    <row r="10" spans="2:7" ht="21.75" customHeight="1" x14ac:dyDescent="0.25">
      <c r="B10" s="61" t="s">
        <v>49</v>
      </c>
      <c r="C10" s="65" t="s">
        <v>57</v>
      </c>
      <c r="D10" s="40"/>
    </row>
    <row r="11" spans="2:7" ht="20.25" customHeight="1" x14ac:dyDescent="0.25">
      <c r="B11" s="62"/>
      <c r="C11" s="63"/>
      <c r="D11" s="35"/>
      <c r="G11" t="s">
        <v>50</v>
      </c>
    </row>
    <row r="12" spans="2:7" ht="21.75" customHeight="1" x14ac:dyDescent="0.25">
      <c r="B12" s="60" t="s">
        <v>51</v>
      </c>
      <c r="C12" s="63"/>
      <c r="D12" s="35"/>
    </row>
    <row r="13" spans="2:7" ht="21.75" customHeight="1" x14ac:dyDescent="0.25">
      <c r="B13" s="53" t="s">
        <v>52</v>
      </c>
      <c r="C13" s="36">
        <v>10</v>
      </c>
      <c r="D13" s="40"/>
    </row>
    <row r="14" spans="2:7" ht="21.75" customHeight="1" x14ac:dyDescent="0.25">
      <c r="B14" s="53" t="s">
        <v>53</v>
      </c>
      <c r="C14" s="36">
        <f>'EVALUACION RESULTADOS '!F17</f>
        <v>8</v>
      </c>
      <c r="D14" s="40"/>
    </row>
    <row r="15" spans="2:7" ht="21.75" customHeight="1" x14ac:dyDescent="0.25">
      <c r="B15" s="53" t="s">
        <v>54</v>
      </c>
      <c r="C15" s="48">
        <f>C14/10</f>
        <v>0.8</v>
      </c>
      <c r="D15" s="40"/>
    </row>
    <row r="16" spans="2:7" ht="29.25" customHeight="1" x14ac:dyDescent="0.25">
      <c r="B16" s="53" t="s">
        <v>55</v>
      </c>
      <c r="C16" s="36" t="s">
        <v>78</v>
      </c>
      <c r="D16" s="35"/>
    </row>
    <row r="17" spans="2:8" ht="21.75" customHeight="1" x14ac:dyDescent="0.25">
      <c r="B17" s="60"/>
      <c r="C17" s="63"/>
      <c r="D17" s="35"/>
    </row>
    <row r="18" spans="2:8" ht="21.75" customHeight="1" x14ac:dyDescent="0.25">
      <c r="B18" s="60"/>
      <c r="C18" s="63"/>
      <c r="D18" s="35"/>
    </row>
    <row r="19" spans="2:8" ht="21.75" customHeight="1" x14ac:dyDescent="0.25">
      <c r="B19" s="60"/>
      <c r="C19" s="63"/>
      <c r="D19" s="35"/>
    </row>
    <row r="20" spans="2:8" ht="21.75" customHeight="1" x14ac:dyDescent="0.25">
      <c r="B20" s="60"/>
      <c r="C20" s="63"/>
      <c r="D20" s="35"/>
    </row>
    <row r="21" spans="2:8" ht="15" customHeight="1" x14ac:dyDescent="0.25">
      <c r="B21" s="60"/>
      <c r="C21" s="63"/>
      <c r="D21" s="35"/>
    </row>
    <row r="22" spans="2:8" ht="15" customHeight="1" x14ac:dyDescent="0.25">
      <c r="B22" s="60"/>
      <c r="C22" s="63"/>
      <c r="D22" s="35"/>
    </row>
    <row r="23" spans="2:8" ht="15" customHeight="1" x14ac:dyDescent="0.25">
      <c r="B23" s="60"/>
      <c r="C23" s="63"/>
      <c r="D23" s="35"/>
    </row>
    <row r="24" spans="2:8" ht="15" customHeight="1" x14ac:dyDescent="0.25">
      <c r="B24" s="60"/>
      <c r="C24" s="63"/>
      <c r="D24" s="35"/>
    </row>
    <row r="25" spans="2:8" x14ac:dyDescent="0.25">
      <c r="B25" s="18"/>
      <c r="C25" s="26"/>
      <c r="H25" s="2"/>
    </row>
    <row r="26" spans="2:8" x14ac:dyDescent="0.25">
      <c r="B26" s="18"/>
      <c r="C26" s="26"/>
      <c r="H26" s="2"/>
    </row>
    <row r="27" spans="2:8" x14ac:dyDescent="0.25">
      <c r="B27" s="18"/>
      <c r="C27" s="26"/>
      <c r="H27" s="2"/>
    </row>
    <row r="28" spans="2:8" x14ac:dyDescent="0.25">
      <c r="B28" s="18"/>
      <c r="C28" s="26"/>
      <c r="H28" s="2"/>
    </row>
    <row r="29" spans="2:8" ht="22.5" customHeight="1" x14ac:dyDescent="0.25">
      <c r="B29" s="18"/>
      <c r="C29" s="26"/>
    </row>
    <row r="30" spans="2:8" ht="17.25" x14ac:dyDescent="0.25">
      <c r="B30" s="60" t="s">
        <v>58</v>
      </c>
      <c r="C30" s="26"/>
    </row>
    <row r="31" spans="2:8" ht="10.5" customHeight="1" x14ac:dyDescent="0.25">
      <c r="B31" s="59"/>
      <c r="C31" s="26"/>
    </row>
    <row r="32" spans="2:8" x14ac:dyDescent="0.25">
      <c r="B32" s="53" t="s">
        <v>59</v>
      </c>
      <c r="C32" s="55" t="s">
        <v>73</v>
      </c>
    </row>
    <row r="33" spans="2:4" x14ac:dyDescent="0.25">
      <c r="B33" s="50" t="s">
        <v>62</v>
      </c>
      <c r="C33" s="49">
        <f>'EVALUACION RESULTADOS '!F25</f>
        <v>0.3</v>
      </c>
      <c r="D33" s="56"/>
    </row>
    <row r="34" spans="2:4" x14ac:dyDescent="0.25">
      <c r="B34" s="51" t="s">
        <v>64</v>
      </c>
      <c r="C34" s="49">
        <f>'EVALUACION RESULTADOS '!F26</f>
        <v>0.2</v>
      </c>
      <c r="D34" s="56"/>
    </row>
    <row r="35" spans="2:4" x14ac:dyDescent="0.25">
      <c r="B35" s="52" t="s">
        <v>66</v>
      </c>
      <c r="C35" s="49">
        <f>'EVALUACION RESULTADOS '!F27</f>
        <v>0.1</v>
      </c>
      <c r="D35" s="56"/>
    </row>
    <row r="36" spans="2:4" x14ac:dyDescent="0.25">
      <c r="B36" s="54" t="s">
        <v>68</v>
      </c>
      <c r="C36" s="49">
        <f>'EVALUACION RESULTADOS '!F28</f>
        <v>0.2</v>
      </c>
      <c r="D36" s="56"/>
    </row>
    <row r="42" spans="2:4" x14ac:dyDescent="0.25">
      <c r="B42" s="57"/>
      <c r="C42" s="58"/>
    </row>
    <row r="43" spans="2:4" ht="17.25" x14ac:dyDescent="0.25">
      <c r="B43" s="60" t="s">
        <v>77</v>
      </c>
      <c r="C43" s="26"/>
    </row>
    <row r="44" spans="2:4" x14ac:dyDescent="0.25">
      <c r="B44" s="18"/>
      <c r="C44" s="26"/>
    </row>
    <row r="45" spans="2:4" ht="44.25" customHeight="1" x14ac:dyDescent="0.25">
      <c r="B45" s="83" t="str">
        <f>IF(C14&gt;=8,"Muy Apto: El candidato demuestra nivel de razonamiento lógico, atención y memoria. Interpreta instrucciones con rapidez, mantiene concentración y comete muy pocos errores.",IF(C14&gt;=5,"Apto: El candidato posee buenas aptitudes cognitivas, con capacidad para resolver problemas y seguir instrucciones, aunque puede requerir refuerzo en situaciones de alta presión.","No Apto: El candidato evidencia dificultades significativas en atención, comprensión y razonamiento lógico, lo que puede afectar su desempeño en funciones de seguridad."))</f>
        <v>Muy Apto: El candidato demuestra nivel de razonamiento lógico, atención y memoria. Interpreta instrucciones con rapidez, mantiene concentración y comete muy pocos errores.</v>
      </c>
      <c r="C45" s="84"/>
    </row>
    <row r="46" spans="2:4" x14ac:dyDescent="0.25">
      <c r="B46" s="18"/>
      <c r="C46" s="26"/>
    </row>
    <row r="47" spans="2:4" x14ac:dyDescent="0.25">
      <c r="B47" s="18"/>
      <c r="C47" s="26"/>
    </row>
    <row r="48" spans="2:4" ht="17.25" x14ac:dyDescent="0.25">
      <c r="B48" s="60" t="s">
        <v>76</v>
      </c>
      <c r="C48" s="26"/>
    </row>
    <row r="49" spans="2:3" x14ac:dyDescent="0.25">
      <c r="B49" s="18"/>
      <c r="C49" s="26"/>
    </row>
    <row r="50" spans="2:3" ht="56.25" customHeight="1" x14ac:dyDescent="0.25">
      <c r="B50" s="79" t="s">
        <v>79</v>
      </c>
      <c r="C50" s="80"/>
    </row>
    <row r="51" spans="2:3" x14ac:dyDescent="0.25">
      <c r="B51" s="18"/>
      <c r="C51" s="26"/>
    </row>
    <row r="52" spans="2:3" x14ac:dyDescent="0.25">
      <c r="B52" s="18"/>
      <c r="C52" s="26"/>
    </row>
    <row r="53" spans="2:3" x14ac:dyDescent="0.25">
      <c r="B53" s="18"/>
      <c r="C53" s="26"/>
    </row>
    <row r="54" spans="2:3" x14ac:dyDescent="0.25">
      <c r="B54" s="18"/>
      <c r="C54" s="26"/>
    </row>
    <row r="55" spans="2:3" x14ac:dyDescent="0.25">
      <c r="B55" s="18"/>
      <c r="C55" s="26"/>
    </row>
    <row r="56" spans="2:3" x14ac:dyDescent="0.25">
      <c r="B56" s="18"/>
      <c r="C56" s="26"/>
    </row>
    <row r="57" spans="2:3" x14ac:dyDescent="0.25">
      <c r="B57" s="18"/>
      <c r="C57" s="26"/>
    </row>
    <row r="58" spans="2:3" x14ac:dyDescent="0.25">
      <c r="B58" s="18"/>
      <c r="C58" s="26"/>
    </row>
    <row r="59" spans="2:3" x14ac:dyDescent="0.25">
      <c r="B59" s="18"/>
      <c r="C59" s="26"/>
    </row>
    <row r="60" spans="2:3" x14ac:dyDescent="0.25">
      <c r="B60" s="18"/>
      <c r="C60" s="26"/>
    </row>
    <row r="61" spans="2:3" x14ac:dyDescent="0.25">
      <c r="B61" s="18"/>
      <c r="C61" s="26"/>
    </row>
    <row r="62" spans="2:3" x14ac:dyDescent="0.25">
      <c r="B62" s="18"/>
      <c r="C62" s="26"/>
    </row>
    <row r="63" spans="2:3" x14ac:dyDescent="0.25">
      <c r="B63" s="18"/>
      <c r="C63" s="26"/>
    </row>
    <row r="64" spans="2:3" x14ac:dyDescent="0.25">
      <c r="B64" s="18"/>
      <c r="C64" s="26"/>
    </row>
    <row r="65" spans="2:3" x14ac:dyDescent="0.25">
      <c r="B65" s="18"/>
      <c r="C65" s="26"/>
    </row>
    <row r="66" spans="2:3" x14ac:dyDescent="0.25">
      <c r="B66" s="18"/>
      <c r="C66" s="26"/>
    </row>
    <row r="67" spans="2:3" x14ac:dyDescent="0.25">
      <c r="B67" s="18"/>
      <c r="C67" s="26"/>
    </row>
    <row r="68" spans="2:3" x14ac:dyDescent="0.25">
      <c r="B68" s="18"/>
      <c r="C68" s="26"/>
    </row>
    <row r="69" spans="2:3" x14ac:dyDescent="0.25">
      <c r="B69" s="18"/>
      <c r="C69" s="26"/>
    </row>
    <row r="70" spans="2:3" x14ac:dyDescent="0.25">
      <c r="B70" s="18"/>
      <c r="C70" s="26"/>
    </row>
    <row r="71" spans="2:3" x14ac:dyDescent="0.25">
      <c r="B71" s="18"/>
      <c r="C71" s="26"/>
    </row>
    <row r="72" spans="2:3" x14ac:dyDescent="0.25">
      <c r="B72" s="18"/>
      <c r="C72" s="26"/>
    </row>
    <row r="73" spans="2:3" x14ac:dyDescent="0.25">
      <c r="B73" s="18"/>
      <c r="C73" s="26"/>
    </row>
    <row r="74" spans="2:3" x14ac:dyDescent="0.25">
      <c r="B74" s="18"/>
      <c r="C74" s="26"/>
    </row>
    <row r="75" spans="2:3" x14ac:dyDescent="0.25">
      <c r="B75" s="18"/>
      <c r="C75" s="26"/>
    </row>
    <row r="76" spans="2:3" x14ac:dyDescent="0.25">
      <c r="B76" s="18"/>
      <c r="C76" s="26"/>
    </row>
    <row r="77" spans="2:3" x14ac:dyDescent="0.25">
      <c r="B77" s="18"/>
      <c r="C77" s="26"/>
    </row>
    <row r="78" spans="2:3" x14ac:dyDescent="0.25">
      <c r="B78" s="18"/>
      <c r="C78" s="26"/>
    </row>
    <row r="79" spans="2:3" x14ac:dyDescent="0.25">
      <c r="B79" s="18"/>
      <c r="C79" s="26"/>
    </row>
    <row r="80" spans="2:3" x14ac:dyDescent="0.25">
      <c r="B80" s="18"/>
      <c r="C80" s="26"/>
    </row>
    <row r="81" spans="2:3" x14ac:dyDescent="0.25">
      <c r="B81" s="18"/>
      <c r="C81" s="26"/>
    </row>
    <row r="82" spans="2:3" x14ac:dyDescent="0.25">
      <c r="B82" s="21"/>
      <c r="C82" s="64"/>
    </row>
  </sheetData>
  <mergeCells count="4">
    <mergeCell ref="B50:C50"/>
    <mergeCell ref="B4:C4"/>
    <mergeCell ref="B5:C5"/>
    <mergeCell ref="B45:C4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CUADERNILLO PREGUNTAS </vt:lpstr>
      <vt:lpstr>EVALUACION RESULTADOS </vt:lpstr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Rubi Quezada</cp:lastModifiedBy>
  <cp:lastPrinted>2025-09-01T17:56:20Z</cp:lastPrinted>
  <dcterms:created xsi:type="dcterms:W3CDTF">2025-09-01T02:19:53Z</dcterms:created>
  <dcterms:modified xsi:type="dcterms:W3CDTF">2025-09-30T02:14:42Z</dcterms:modified>
</cp:coreProperties>
</file>